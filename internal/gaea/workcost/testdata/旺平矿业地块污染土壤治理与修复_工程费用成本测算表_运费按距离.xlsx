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封面" sheetId="1" state="visible" r:id="rId3"/>
    <sheet name="费用汇总" sheetId="2" state="visible" r:id="rId4"/>
    <sheet name="综合单价" sheetId="3" state="visible" r:id="rId5"/>
    <sheet name="工料机价格" sheetId="4" state="visible" r:id="rId6"/>
    <sheet name="工程量计算" sheetId="5" state="visible" r:id="rId7"/>
  </sheets>
  <definedNames>
    <definedName function="false" hidden="false" localSheetId="1" name="_xlnm.Print_Area" vbProcedure="false">费用汇总!$A$1:$K$90</definedName>
    <definedName function="false" hidden="false" localSheetId="1" name="_xlnm.Print_Titles" vbProcedure="false">费用汇总!$1:$3</definedName>
    <definedName function="false" hidden="true" localSheetId="1" name="_xlnm._FilterDatabase" vbProcedure="false">费用汇总!$A$3:$K$36</definedName>
    <definedName function="false" hidden="false" localSheetId="0" name="_xlnm.Print_Area" vbProcedure="false">封面!$A$1:$G$23</definedName>
    <definedName function="false" hidden="false" localSheetId="4" name="_xlnm.Print_Area" vbProcedure="false">工程量计算!$A$1:$H$61</definedName>
    <definedName function="false" hidden="false" localSheetId="4" name="_xlnm.Print_Titles" vbProcedure="false">工程量计算!$1:$3</definedName>
    <definedName function="false" hidden="true" localSheetId="4" name="_xlnm._FilterDatabase" vbProcedure="false">工程量计算!$A$3:$H$28</definedName>
    <definedName function="false" hidden="false" localSheetId="3" name="_xlnm.Print_Area" vbProcedure="false">工料机价格!$A$1:$H$36</definedName>
    <definedName function="false" hidden="false" localSheetId="3" name="_xlnm.Print_Titles" vbProcedure="false">工料机价格!$1:$3</definedName>
    <definedName function="false" hidden="true" localSheetId="3" name="_xlnm._FilterDatabase" vbProcedure="false">工料机价格!$A$3:$H$49</definedName>
    <definedName function="false" hidden="false" localSheetId="2" name="_xlnm.Print_Area" vbProcedure="false">综合单价!$A$1:$P$143</definedName>
    <definedName function="false" hidden="false" localSheetId="2" name="_xlnm.Print_Titles" vbProcedure="false">综合单价!$1:$3</definedName>
    <definedName function="false" hidden="true" localSheetId="2" name="_xlnm._FilterDatabase" vbProcedure="false">综合单价!$A$3:$P$143</definedName>
    <definedName function="false" hidden="false" name="含税工程造价" vbProcedure="false">费用汇总!$E$57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<sst xmlns="http://schemas.openxmlformats.org/spreadsheetml/2006/main" count="2112" uniqueCount="847">
  <si>
    <t xml:space="preserve">宝兴县旺平矿业有限责任公司地块
污染土壤治理与修复项目工程费用成本测算</t>
  </si>
  <si>
    <t xml:space="preserve">本次按工序重做人材机消耗量。表6.1-1只提供方量，不提供单价。台班费由柴油、折旧、司机计算。</t>
  </si>
  <si>
    <t xml:space="preserve">测算成果</t>
  </si>
  <si>
    <t xml:space="preserve">指标</t>
  </si>
  <si>
    <t xml:space="preserve">金额</t>
  </si>
  <si>
    <t xml:space="preserve">口径</t>
  </si>
  <si>
    <t xml:space="preserve">含税工程造价</t>
  </si>
  <si>
    <t xml:space="preserve">费用汇总</t>
  </si>
  <si>
    <t xml:space="preserve">人材机直接费</t>
  </si>
  <si>
    <t xml:space="preserve">清单合价</t>
  </si>
  <si>
    <t xml:space="preserve">不含税造价</t>
  </si>
  <si>
    <t xml:space="preserve">直接费+管理费+利润</t>
  </si>
  <si>
    <t xml:space="preserve">方案工程费锚点</t>
  </si>
  <si>
    <t xml:space="preserve">只对照，不参与组价</t>
  </si>
  <si>
    <t xml:space="preserve">与锚点差额</t>
  </si>
  <si>
    <t xml:space="preserve">正数=高于方案</t>
  </si>
  <si>
    <t xml:space="preserve">项目</t>
  </si>
  <si>
    <t xml:space="preserve">宝兴县旺平矿业有限责任公司地块污染土壤治理与修复</t>
  </si>
  <si>
    <t xml:space="preserve">地点</t>
  </si>
  <si>
    <t xml:space="preserve">四川省雅安市宝兴县陇东镇</t>
  </si>
  <si>
    <t xml:space="preserve">工期</t>
  </si>
  <si>
    <t xml:space="preserve">2027年7月至2028年6月，12个月</t>
  </si>
  <si>
    <t xml:space="preserve">污染物</t>
  </si>
  <si>
    <t xml:space="preserve">砷(As)、锑(Sb)</t>
  </si>
  <si>
    <t xml:space="preserve">范围</t>
  </si>
  <si>
    <t xml:space="preserve">仅工程费用。不含其他费525.81万元、预备费316.19万元</t>
  </si>
  <si>
    <t xml:space="preserve">组价</t>
  </si>
  <si>
    <t xml:space="preserve">综合单价=工序消耗量×基础资源价。管理费5%、利润0%、增值税3%在费用汇总</t>
  </si>
  <si>
    <t xml:space="preserve">运输</t>
  </si>
  <si>
    <t xml:space="preserve">15t车实载12t，189.8km一车次一台班，油耗按0.35L/km另补柴油差</t>
  </si>
  <si>
    <t xml:space="preserve">清挖</t>
  </si>
  <si>
    <t xml:space="preserve">废渣180m³/台班，污染土120m³/台班，另计场内自卸</t>
  </si>
  <si>
    <t xml:space="preserve">费用汇总。上半是工程量×工序综合单价。下半管理费、利润、税金不进综合单价。不含方案其他费和预备费。</t>
  </si>
  <si>
    <t xml:space="preserve">本表不引用表6.1-1的综合单价。工程量来自实施方案方量；单价来自工序消耗量×基础资源价。</t>
  </si>
  <si>
    <t xml:space="preserve">序号</t>
  </si>
  <si>
    <t xml:space="preserve">分部</t>
  </si>
  <si>
    <t xml:space="preserve">编码</t>
  </si>
  <si>
    <t xml:space="preserve">项目名称</t>
  </si>
  <si>
    <t xml:space="preserve">工序特征</t>
  </si>
  <si>
    <t xml:space="preserve">单位</t>
  </si>
  <si>
    <t xml:space="preserve">工程量</t>
  </si>
  <si>
    <t xml:space="preserve">综合单价</t>
  </si>
  <si>
    <t xml:space="preserve">合价（元）</t>
  </si>
  <si>
    <t xml:space="preserve">单价位置</t>
  </si>
  <si>
    <t xml:space="preserve">依据</t>
  </si>
  <si>
    <t xml:space="preserve">A临建</t>
  </si>
  <si>
    <t xml:space="preserve">WP01</t>
  </si>
  <si>
    <t xml:space="preserve">测量放线</t>
  </si>
  <si>
    <t xml:space="preserve">拐点、分层标高</t>
  </si>
  <si>
    <t xml:space="preserve">项</t>
  </si>
  <si>
    <t xml:space="preserve">1</t>
  </si>
  <si>
    <t xml:space="preserve">综合单价!P4</t>
  </si>
  <si>
    <t xml:space="preserve">第5.3.1.4条</t>
  </si>
  <si>
    <t xml:space="preserve">WP02</t>
  </si>
  <si>
    <t xml:space="preserve">施工便道</t>
  </si>
  <si>
    <t xml:space="preserve">3m宽，20cm碎石+15cm混凝土</t>
  </si>
  <si>
    <t xml:space="preserve">m</t>
  </si>
  <si>
    <t xml:space="preserve">综合单价!P7</t>
  </si>
  <si>
    <t xml:space="preserve">T14</t>
  </si>
  <si>
    <t xml:space="preserve">WP03</t>
  </si>
  <si>
    <t xml:space="preserve">车辆冲洗平台</t>
  </si>
  <si>
    <t xml:space="preserve">平台12×4×0.25m钢筋混凝土；沉淀池砖砌，不过车</t>
  </si>
  <si>
    <t xml:space="preserve">座</t>
  </si>
  <si>
    <t xml:space="preserve">综合单价!P14</t>
  </si>
  <si>
    <t xml:space="preserve">按15t渣土车轮压重算，不用方案2.5万元包干</t>
  </si>
  <si>
    <t xml:space="preserve">WP04</t>
  </si>
  <si>
    <t xml:space="preserve">截水沟</t>
  </si>
  <si>
    <t xml:space="preserve">0.3×0.4m砖沟</t>
  </si>
  <si>
    <t xml:space="preserve">综合单价!P21</t>
  </si>
  <si>
    <t xml:space="preserve">T15</t>
  </si>
  <si>
    <t xml:space="preserve">WP05</t>
  </si>
  <si>
    <t xml:space="preserve">废水调节沉淀池</t>
  </si>
  <si>
    <t xml:space="preserve">两座砖砌，不过车，不配钢筋</t>
  </si>
  <si>
    <t xml:space="preserve">综合单价!P27</t>
  </si>
  <si>
    <t xml:space="preserve">工序拆量，不用100万包干</t>
  </si>
  <si>
    <t xml:space="preserve">WP06</t>
  </si>
  <si>
    <t xml:space="preserve">地面防渗</t>
  </si>
  <si>
    <t xml:space="preserve">两布一膜+15cm混凝土</t>
  </si>
  <si>
    <t xml:space="preserve">m²</t>
  </si>
  <si>
    <t xml:space="preserve">综合单价!P35</t>
  </si>
  <si>
    <t xml:space="preserve">T16</t>
  </si>
  <si>
    <t xml:space="preserve">WP07</t>
  </si>
  <si>
    <t xml:space="preserve">施工围挡</t>
  </si>
  <si>
    <t xml:space="preserve">2m彩钢</t>
  </si>
  <si>
    <t xml:space="preserve">综合单价!P42</t>
  </si>
  <si>
    <t xml:space="preserve">T21</t>
  </si>
  <si>
    <t xml:space="preserve">WP08</t>
  </si>
  <si>
    <t xml:space="preserve">防尘网覆盖</t>
  </si>
  <si>
    <t xml:space="preserve">材料+铺设</t>
  </si>
  <si>
    <t xml:space="preserve">综合单价!P47</t>
  </si>
  <si>
    <t xml:space="preserve">T22</t>
  </si>
  <si>
    <t xml:space="preserve">WP09</t>
  </si>
  <si>
    <t xml:space="preserve">办公生活板房</t>
  </si>
  <si>
    <t xml:space="preserve">安拆一次</t>
  </si>
  <si>
    <t xml:space="preserve">综合单价!P50</t>
  </si>
  <si>
    <t xml:space="preserve">T23</t>
  </si>
  <si>
    <t xml:space="preserve">WP10</t>
  </si>
  <si>
    <t xml:space="preserve">底泥脱水棚</t>
  </si>
  <si>
    <t xml:space="preserve">彩钢屋面+轻钢骨架，只遮雨，不用夹芯板</t>
  </si>
  <si>
    <t xml:space="preserve">综合单价!P56</t>
  </si>
  <si>
    <t xml:space="preserve">T24</t>
  </si>
  <si>
    <t xml:space="preserve">WP32</t>
  </si>
  <si>
    <t xml:space="preserve">机械进出场</t>
  </si>
  <si>
    <t xml:space="preserve">4台机械</t>
  </si>
  <si>
    <t xml:space="preserve">综合单价!P139</t>
  </si>
  <si>
    <t xml:space="preserve">工序</t>
  </si>
  <si>
    <t xml:space="preserve">B支护降水</t>
  </si>
  <si>
    <t xml:space="preserve">WP11</t>
  </si>
  <si>
    <t xml:space="preserve">拉森钢板桩支护</t>
  </si>
  <si>
    <t xml:space="preserve">周长×桩长，租赁3个月</t>
  </si>
  <si>
    <t xml:space="preserve">综合单价!P63</t>
  </si>
  <si>
    <t xml:space="preserve">D09</t>
  </si>
  <si>
    <t xml:space="preserve">WP12</t>
  </si>
  <si>
    <t xml:space="preserve">基坑降水井</t>
  </si>
  <si>
    <t xml:space="preserve">成井+运行</t>
  </si>
  <si>
    <t xml:space="preserve">口</t>
  </si>
  <si>
    <t xml:space="preserve">综合单价!P70</t>
  </si>
  <si>
    <t xml:space="preserve">T19</t>
  </si>
  <si>
    <t xml:space="preserve">C清挖</t>
  </si>
  <si>
    <t xml:space="preserve">WP13</t>
  </si>
  <si>
    <t xml:space="preserve">废渣清挖装车</t>
  </si>
  <si>
    <t xml:space="preserve">180m³/台班</t>
  </si>
  <si>
    <t xml:space="preserve">m³</t>
  </si>
  <si>
    <t xml:space="preserve">综合单价!P78</t>
  </si>
  <si>
    <t xml:space="preserve">T01</t>
  </si>
  <si>
    <t xml:space="preserve">WP14</t>
  </si>
  <si>
    <t xml:space="preserve">河道底泥清挖</t>
  </si>
  <si>
    <t xml:space="preserve">干式清淤，含隔水围堰和抽水</t>
  </si>
  <si>
    <t xml:space="preserve">综合单价!P82</t>
  </si>
  <si>
    <t xml:space="preserve">T02</t>
  </si>
  <si>
    <t xml:space="preserve">WP15</t>
  </si>
  <si>
    <t xml:space="preserve">底泥脱水</t>
  </si>
  <si>
    <t xml:space="preserve">药剂+压滤人工</t>
  </si>
  <si>
    <t xml:space="preserve">综合单价!P86</t>
  </si>
  <si>
    <t xml:space="preserve">WP16</t>
  </si>
  <si>
    <t xml:space="preserve">原矿料装车</t>
  </si>
  <si>
    <t xml:space="preserve">装载机</t>
  </si>
  <si>
    <t xml:space="preserve">综合单价!P91</t>
  </si>
  <si>
    <t xml:space="preserve">T03</t>
  </si>
  <si>
    <t xml:space="preserve">WP17</t>
  </si>
  <si>
    <t xml:space="preserve">污染土清挖装车</t>
  </si>
  <si>
    <t xml:space="preserve">120m³/台班</t>
  </si>
  <si>
    <t xml:space="preserve">综合单价!P95</t>
  </si>
  <si>
    <t xml:space="preserve">T04</t>
  </si>
  <si>
    <t xml:space="preserve">D外运处置</t>
  </si>
  <si>
    <t xml:space="preserve">WP18</t>
  </si>
  <si>
    <t xml:space="preserve">密闭运输至水泥窑</t>
  </si>
  <si>
    <t xml:space="preserve">12t/车次，189.8km</t>
  </si>
  <si>
    <t xml:space="preserve">t</t>
  </si>
  <si>
    <t xml:space="preserve">综合单价!P100</t>
  </si>
  <si>
    <t xml:space="preserve">D04</t>
  </si>
  <si>
    <t xml:space="preserve">WP19</t>
  </si>
  <si>
    <t xml:space="preserve">水泥窑协同处置</t>
  </si>
  <si>
    <t xml:space="preserve">不含运190元/t</t>
  </si>
  <si>
    <t xml:space="preserve">综合单价!P104</t>
  </si>
  <si>
    <t xml:space="preserve">E回填</t>
  </si>
  <si>
    <t xml:space="preserve">WP20</t>
  </si>
  <si>
    <t xml:space="preserve">外购清洁土</t>
  </si>
  <si>
    <t xml:space="preserve">到场采购</t>
  </si>
  <si>
    <t xml:space="preserve">综合单价!P106</t>
  </si>
  <si>
    <t xml:space="preserve">D06</t>
  </si>
  <si>
    <t xml:space="preserve">WP21</t>
  </si>
  <si>
    <t xml:space="preserve">分层回填压实</t>
  </si>
  <si>
    <t xml:space="preserve">摊铺碾压</t>
  </si>
  <si>
    <t xml:space="preserve">综合单价!P108</t>
  </si>
  <si>
    <t xml:space="preserve">F废水</t>
  </si>
  <si>
    <t xml:space="preserve">WP22</t>
  </si>
  <si>
    <t xml:space="preserve">废水混凝沉淀运行</t>
  </si>
  <si>
    <t xml:space="preserve">PAC/PAM+泵+人工</t>
  </si>
  <si>
    <t xml:space="preserve">综合单价!P113</t>
  </si>
  <si>
    <t xml:space="preserve">D05</t>
  </si>
  <si>
    <t xml:space="preserve">WP23</t>
  </si>
  <si>
    <t xml:space="preserve">废水外运</t>
  </si>
  <si>
    <t xml:space="preserve">10m³/车</t>
  </si>
  <si>
    <t xml:space="preserve">综合单价!P118</t>
  </si>
  <si>
    <t xml:space="preserve">WP24</t>
  </si>
  <si>
    <t xml:space="preserve">污水厂接收</t>
  </si>
  <si>
    <t xml:space="preserve">工业污水厂接收，75元/m³，方案市场报价</t>
  </si>
  <si>
    <t xml:space="preserve">综合单价!P121</t>
  </si>
  <si>
    <t xml:space="preserve">G措施</t>
  </si>
  <si>
    <t xml:space="preserve">WP25</t>
  </si>
  <si>
    <t xml:space="preserve">降尘文明施工</t>
  </si>
  <si>
    <t xml:space="preserve">出土高峰60天人工+挖运期洒水45台班</t>
  </si>
  <si>
    <t xml:space="preserve">综合单价!P123</t>
  </si>
  <si>
    <t xml:space="preserve">H监测</t>
  </si>
  <si>
    <t xml:space="preserve">WP26</t>
  </si>
  <si>
    <t xml:space="preserve">大气监测</t>
  </si>
  <si>
    <t xml:space="preserve">外委化验</t>
  </si>
  <si>
    <t xml:space="preserve">点次</t>
  </si>
  <si>
    <t xml:space="preserve">综合单价!P127</t>
  </si>
  <si>
    <t xml:space="preserve">T26</t>
  </si>
  <si>
    <t xml:space="preserve">WP27</t>
  </si>
  <si>
    <t xml:space="preserve">噪声监测</t>
  </si>
  <si>
    <t xml:space="preserve">综合单价!P129</t>
  </si>
  <si>
    <t xml:space="preserve">T27</t>
  </si>
  <si>
    <t xml:space="preserve">WP28</t>
  </si>
  <si>
    <t xml:space="preserve">废水监测</t>
  </si>
  <si>
    <t xml:space="preserve">样</t>
  </si>
  <si>
    <t xml:space="preserve">综合单价!P131</t>
  </si>
  <si>
    <t xml:space="preserve">T28</t>
  </si>
  <si>
    <t xml:space="preserve">WP29</t>
  </si>
  <si>
    <t xml:space="preserve">地下水监测</t>
  </si>
  <si>
    <t xml:space="preserve">综合单价!P133</t>
  </si>
  <si>
    <t xml:space="preserve">T29</t>
  </si>
  <si>
    <t xml:space="preserve">WP30</t>
  </si>
  <si>
    <t xml:space="preserve">土壤自检</t>
  </si>
  <si>
    <t xml:space="preserve">综合单价!P135</t>
  </si>
  <si>
    <t xml:space="preserve">T30</t>
  </si>
  <si>
    <t xml:space="preserve">WP31</t>
  </si>
  <si>
    <t xml:space="preserve">危废鉴别</t>
  </si>
  <si>
    <t xml:space="preserve">综合单价!P137</t>
  </si>
  <si>
    <t xml:space="preserve">T31</t>
  </si>
  <si>
    <t xml:space="preserve">人材机直接费合计</t>
  </si>
  <si>
    <t xml:space="preserve">分部小计</t>
  </si>
  <si>
    <t xml:space="preserve">占直接费</t>
  </si>
  <si>
    <t xml:space="preserve">分部校核</t>
  </si>
  <si>
    <t xml:space="preserve">取费（黄底费率可改，不进综合单价）</t>
  </si>
  <si>
    <t xml:space="preserve">费用名称</t>
  </si>
  <si>
    <t xml:space="preserve">计算基数</t>
  </si>
  <si>
    <t xml:space="preserve">费率</t>
  </si>
  <si>
    <t xml:space="preserve">金额（元）</t>
  </si>
  <si>
    <t xml:space="preserve">备注</t>
  </si>
  <si>
    <t xml:space="preserve">一</t>
  </si>
  <si>
    <t xml:space="preserve">—</t>
  </si>
  <si>
    <t xml:space="preserve">不含管利税</t>
  </si>
  <si>
    <t xml:space="preserve">二</t>
  </si>
  <si>
    <t xml:space="preserve">企业管理费</t>
  </si>
  <si>
    <t xml:space="preserve">直接费×费率</t>
  </si>
  <si>
    <t xml:space="preserve">不进综合单价</t>
  </si>
  <si>
    <t xml:space="preserve">三</t>
  </si>
  <si>
    <t xml:space="preserve">利润</t>
  </si>
  <si>
    <t xml:space="preserve">（直接费+管理费）×费率</t>
  </si>
  <si>
    <t xml:space="preserve">四</t>
  </si>
  <si>
    <t xml:space="preserve">税前造价</t>
  </si>
  <si>
    <t xml:space="preserve">五</t>
  </si>
  <si>
    <t xml:space="preserve">增值税</t>
  </si>
  <si>
    <t xml:space="preserve">税前×税率</t>
  </si>
  <si>
    <t xml:space="preserve">一般计税9%</t>
  </si>
  <si>
    <t xml:space="preserve">六</t>
  </si>
  <si>
    <t xml:space="preserve">税前+增值税</t>
  </si>
  <si>
    <t xml:space="preserve">仅工程费用</t>
  </si>
  <si>
    <t xml:space="preserve">七</t>
  </si>
  <si>
    <t xml:space="preserve">表6.1-1，只对照</t>
  </si>
  <si>
    <t xml:space="preserve">不参与本表组价</t>
  </si>
  <si>
    <t xml:space="preserve">八</t>
  </si>
  <si>
    <t xml:space="preserve">本测算-锚点</t>
  </si>
  <si>
    <t xml:space="preserve">图表取分部小计。柱状图是金额，饼图是占比。改黄底消耗量或资源单价后，合价和图表一起变。</t>
  </si>
  <si>
    <t xml:space="preserve">综合单价（只含人材机）。消耗量按工序计算，单价VLOOKUP工料机。不使用投资估算包干价，不使用其他项目的综合单价。</t>
  </si>
  <si>
    <t xml:space="preserve">黄底为消耗量。台班单价是工料机表的公式结果。外委仅水泥窑、外购土、监测化验，因为这三项不在现场发生人材机。</t>
  </si>
  <si>
    <t xml:space="preserve">清单编码</t>
  </si>
  <si>
    <t xml:space="preserve">行类</t>
  </si>
  <si>
    <t xml:space="preserve">资源编码</t>
  </si>
  <si>
    <t xml:space="preserve">资源名称</t>
  </si>
  <si>
    <t xml:space="preserve">消耗单位</t>
  </si>
  <si>
    <t xml:space="preserve">消耗量</t>
  </si>
  <si>
    <t xml:space="preserve">单价</t>
  </si>
  <si>
    <t xml:space="preserve">合价</t>
  </si>
  <si>
    <t xml:space="preserve">人工</t>
  </si>
  <si>
    <t xml:space="preserve">材料</t>
  </si>
  <si>
    <t xml:space="preserve">机械</t>
  </si>
  <si>
    <t xml:space="preserve">工序说明</t>
  </si>
  <si>
    <t xml:space="preserve">汇总</t>
  </si>
  <si>
    <t xml:space="preserve">人材机小计，不含管理费利润税金</t>
  </si>
  <si>
    <t xml:space="preserve">1.1</t>
  </si>
  <si>
    <t xml:space="preserve">L02</t>
  </si>
  <si>
    <t xml:space="preserve">技术工/带班</t>
  </si>
  <si>
    <t xml:space="preserve">工日</t>
  </si>
  <si>
    <t xml:space="preserve">2名测量员×10天，放拐点、分层标高</t>
  </si>
  <si>
    <t xml:space="preserve">1.2</t>
  </si>
  <si>
    <t xml:space="preserve">L01</t>
  </si>
  <si>
    <t xml:space="preserve">普通工</t>
  </si>
  <si>
    <t xml:space="preserve">2名司尺×10天</t>
  </si>
  <si>
    <t xml:space="preserve">2.1</t>
  </si>
  <si>
    <t xml:space="preserve">只留泵送混凝土收面。碎石摊铺人工含在装载机作业里，不再另计</t>
  </si>
  <si>
    <t xml:space="preserve">2.2</t>
  </si>
  <si>
    <t xml:space="preserve">停用：便道摊铺碾压的指挥含在装载机、压路机司机里</t>
  </si>
  <si>
    <t xml:space="preserve">2.3</t>
  </si>
  <si>
    <t xml:space="preserve">AGG</t>
  </si>
  <si>
    <t xml:space="preserve">级配碎石</t>
  </si>
  <si>
    <t xml:space="preserve">3m×0.20m压实×松铺1.25。原0.60按压实方直接当采购方</t>
  </si>
  <si>
    <t xml:space="preserve">2.4</t>
  </si>
  <si>
    <t xml:space="preserve">C20</t>
  </si>
  <si>
    <t xml:space="preserve">C20商品混凝土</t>
  </si>
  <si>
    <t xml:space="preserve">3m×0.15m面层</t>
  </si>
  <si>
    <t xml:space="preserve">2.5</t>
  </si>
  <si>
    <t xml:space="preserve">LDR</t>
  </si>
  <si>
    <t xml:space="preserve">装载机50型台班</t>
  </si>
  <si>
    <t xml:space="preserve">台班</t>
  </si>
  <si>
    <t xml:space="preserve">摊铺碎石。600m²/台班，3m宽折每米0.005。原挖机整平口径不对</t>
  </si>
  <si>
    <t xml:space="preserve">2.6</t>
  </si>
  <si>
    <t xml:space="preserve">RL</t>
  </si>
  <si>
    <t xml:space="preserve">压路机台班</t>
  </si>
  <si>
    <t xml:space="preserve">压路机碾压约750m²/台班，3m宽折每米0.004</t>
  </si>
  <si>
    <t xml:space="preserve">行车平台用钢筋混凝土；侧面沉淀池用砖砌抹面，不配钢筋。</t>
  </si>
  <si>
    <t xml:space="preserve">3.1</t>
  </si>
  <si>
    <t xml:space="preserve">洗车池</t>
  </si>
  <si>
    <t xml:space="preserve">平台浇筑8+砖池砌筑抹面6+安装2+钢筋绑扎按2个技工折2.5普工</t>
  </si>
  <si>
    <t xml:space="preserve">3.2</t>
  </si>
  <si>
    <t xml:space="preserve">PITM</t>
  </si>
  <si>
    <t xml:space="preserve">砖砌沉淀池体</t>
  </si>
  <si>
    <t xml:space="preserve">4m×2m×1.2m。砖1.83千块、砂浆1.8吨，公式计价。不过车，不用钢筋混凝土</t>
  </si>
  <si>
    <t xml:space="preserve">3.3</t>
  </si>
  <si>
    <t xml:space="preserve">只算行车平台12×4×0.25。沉淀池不再浇3.5m³钢筋混凝土</t>
  </si>
  <si>
    <t xml:space="preserve">3.4</t>
  </si>
  <si>
    <t xml:space="preserve">REB</t>
  </si>
  <si>
    <t xml:space="preserve">螺纹钢HRB400</t>
  </si>
  <si>
    <t xml:space="preserve">只算平台φ16@150双向。沉淀池不配钢筋</t>
  </si>
  <si>
    <t xml:space="preserve">3.5</t>
  </si>
  <si>
    <t xml:space="preserve">GRT</t>
  </si>
  <si>
    <t xml:space="preserve">钢格栅盖板</t>
  </si>
  <si>
    <t xml:space="preserve">两条轮槽12m×0.6m</t>
  </si>
  <si>
    <t xml:space="preserve">3.6</t>
  </si>
  <si>
    <t xml:space="preserve">WSH</t>
  </si>
  <si>
    <t xml:space="preserve">高压冲洗设备</t>
  </si>
  <si>
    <t xml:space="preserve">套</t>
  </si>
  <si>
    <t xml:space="preserve">泵、管路、喷嘴，12个月摊销</t>
  </si>
  <si>
    <t xml:space="preserve">4.1</t>
  </si>
  <si>
    <t xml:space="preserve">机械挖槽后只砌沟。瓦工约12m/天。原0.28工日/m把挖槽又算进人工</t>
  </si>
  <si>
    <t xml:space="preserve">4.2</t>
  </si>
  <si>
    <t xml:space="preserve">BRK</t>
  </si>
  <si>
    <t xml:space="preserve">页岩配砖</t>
  </si>
  <si>
    <t xml:space="preserve">千块</t>
  </si>
  <si>
    <t xml:space="preserve">0.12m³砌体÷砖净体积</t>
  </si>
  <si>
    <t xml:space="preserve">4.3</t>
  </si>
  <si>
    <t xml:space="preserve">MOR</t>
  </si>
  <si>
    <t xml:space="preserve">砌筑砂浆M10</t>
  </si>
  <si>
    <t xml:space="preserve">砌筑0.03t+内抹面0.02t。原0.04t抹面不够</t>
  </si>
  <si>
    <t xml:space="preserve">4.4</t>
  </si>
  <si>
    <t xml:space="preserve">沟底垫层</t>
  </si>
  <si>
    <t xml:space="preserve">4.5</t>
  </si>
  <si>
    <t xml:space="preserve">EXC</t>
  </si>
  <si>
    <t xml:space="preserve">挖掘机1.0m³台班</t>
  </si>
  <si>
    <t xml:space="preserve">沟槽0.2m³/m，挖机约400m/台班。原0.002按500m略高</t>
  </si>
  <si>
    <t xml:space="preserve">砖砌抹面。不过车，不用钢筋混凝土，不用模板。</t>
  </si>
  <si>
    <t xml:space="preserve">5.1</t>
  </si>
  <si>
    <t xml:space="preserve">两座砖池砌筑抹面。原30工日是浇筑钢筋混凝土</t>
  </si>
  <si>
    <t xml:space="preserve">5.2</t>
  </si>
  <si>
    <t xml:space="preserve">停用：没有钢筋绑扎，不需要技工带班</t>
  </si>
  <si>
    <t xml:space="preserve">5.3</t>
  </si>
  <si>
    <t xml:space="preserve">WWM</t>
  </si>
  <si>
    <t xml:space="preserve">砖砌调节池体</t>
  </si>
  <si>
    <t xml:space="preserve">两座6m×3m×1.5m。砖砌抹面，不用44m³混凝土</t>
  </si>
  <si>
    <t xml:space="preserve">5.4</t>
  </si>
  <si>
    <t xml:space="preserve">停用：调节池不过车，不配钢筋</t>
  </si>
  <si>
    <t xml:space="preserve">5.5</t>
  </si>
  <si>
    <t xml:space="preserve">HDPE</t>
  </si>
  <si>
    <t xml:space="preserve">HDPE防渗膜1.5mm</t>
  </si>
  <si>
    <t xml:space="preserve">砖池内防渗。原160m²模板是混凝土池才需要的</t>
  </si>
  <si>
    <t xml:space="preserve">5.6</t>
  </si>
  <si>
    <t xml:space="preserve">CRN</t>
  </si>
  <si>
    <t xml:space="preserve">汽车吊25t台班</t>
  </si>
  <si>
    <t xml:space="preserve">停用：砖池不用吊模板</t>
  </si>
  <si>
    <t xml:space="preserve">5.7</t>
  </si>
  <si>
    <t xml:space="preserve">两座池槽开挖1台班。原1.5台班按混凝土池基坑</t>
  </si>
  <si>
    <t xml:space="preserve">6.1</t>
  </si>
  <si>
    <t xml:space="preserve">铺膜0.004+混凝土收面0.007+搭接。原0.08是手工抹灰口径</t>
  </si>
  <si>
    <t xml:space="preserve">6.2</t>
  </si>
  <si>
    <t xml:space="preserve">焊接约250m2/人日</t>
  </si>
  <si>
    <t xml:space="preserve">6.3</t>
  </si>
  <si>
    <t xml:space="preserve">GT</t>
  </si>
  <si>
    <t xml:space="preserve">土工布400g</t>
  </si>
  <si>
    <t xml:space="preserve">上下两层，含搭接5%</t>
  </si>
  <si>
    <t xml:space="preserve">6.4</t>
  </si>
  <si>
    <t xml:space="preserve">含搭接</t>
  </si>
  <si>
    <t xml:space="preserve">6.5</t>
  </si>
  <si>
    <t xml:space="preserve">15cm面层，不是20cm估算口径</t>
  </si>
  <si>
    <t xml:space="preserve">6.6</t>
  </si>
  <si>
    <t xml:space="preserve">整平约700m2/台班，不是0.003</t>
  </si>
  <si>
    <t xml:space="preserve">7.1</t>
  </si>
  <si>
    <t xml:space="preserve">2人每天约30m，含基础和挂板。原0.15工日/m偏高</t>
  </si>
  <si>
    <t xml:space="preserve">7.2</t>
  </si>
  <si>
    <t xml:space="preserve">CSP</t>
  </si>
  <si>
    <t xml:space="preserve">彩钢板</t>
  </si>
  <si>
    <t xml:space="preserve">高2m</t>
  </si>
  <si>
    <t xml:space="preserve">7.3</t>
  </si>
  <si>
    <t xml:space="preserve">独立基础</t>
  </si>
  <si>
    <t xml:space="preserve">7.4</t>
  </si>
  <si>
    <t xml:space="preserve">立柱间距3m，一根约15kg，折每米0.005t。原0.004略少</t>
  </si>
  <si>
    <t xml:space="preserve">8.1</t>
  </si>
  <si>
    <t xml:space="preserve">1人每天约400m²。原0.01工日/m²偏高</t>
  </si>
  <si>
    <t xml:space="preserve">8.2</t>
  </si>
  <si>
    <t xml:space="preserve">NET</t>
  </si>
  <si>
    <t xml:space="preserve">防尘网</t>
  </si>
  <si>
    <t xml:space="preserve">含搭接。只用材料价，不加综合价</t>
  </si>
  <si>
    <t xml:space="preserve">9.1</t>
  </si>
  <si>
    <t xml:space="preserve">6人4天安200m²。原0.20工日/m²偏高</t>
  </si>
  <si>
    <t xml:space="preserve">9.2</t>
  </si>
  <si>
    <t xml:space="preserve">水电1人4天/200m²</t>
  </si>
  <si>
    <t xml:space="preserve">9.3</t>
  </si>
  <si>
    <t xml:space="preserve">BRD</t>
  </si>
  <si>
    <t xml:space="preserve">岩棉夹芯板</t>
  </si>
  <si>
    <t xml:space="preserve">墙加屋面展开。原彩钢32元/m²不是活动房板</t>
  </si>
  <si>
    <t xml:space="preserve">9.4</t>
  </si>
  <si>
    <t xml:space="preserve">10cm混凝土地坪。原0.08m³略薄</t>
  </si>
  <si>
    <t xml:space="preserve">9.5</t>
  </si>
  <si>
    <t xml:space="preserve">吊装</t>
  </si>
  <si>
    <t xml:space="preserve">临时遮雨棚。彩钢板，不保温。</t>
  </si>
  <si>
    <t xml:space="preserve">10.1</t>
  </si>
  <si>
    <t xml:space="preserve">4人3天安200m²。原0.12工日/m²偏高</t>
  </si>
  <si>
    <t xml:space="preserve">10.2</t>
  </si>
  <si>
    <t xml:space="preserve">停用：棚的吊装指挥含在吊车司机里</t>
  </si>
  <si>
    <t xml:space="preserve">10.3</t>
  </si>
  <si>
    <t xml:space="preserve">只做屋面遮雨，含搭接。底泥脱水不需要保温，不用岩棉夹芯板</t>
  </si>
  <si>
    <t xml:space="preserve">10.4</t>
  </si>
  <si>
    <t xml:space="preserve">RHS</t>
  </si>
  <si>
    <t xml:space="preserve">轻钢方管骨架</t>
  </si>
  <si>
    <t xml:space="preserve">柱、梁、檩条约8kg/m²。临时棚，不是保温房</t>
  </si>
  <si>
    <t xml:space="preserve">10.5</t>
  </si>
  <si>
    <t xml:space="preserve">基础</t>
  </si>
  <si>
    <t xml:space="preserve">10.6</t>
  </si>
  <si>
    <t xml:space="preserve">11.1</t>
  </si>
  <si>
    <t xml:space="preserve">LAS</t>
  </si>
  <si>
    <t xml:space="preserve">拉森钢板桩租赁</t>
  </si>
  <si>
    <t xml:space="preserve">t·月</t>
  </si>
  <si>
    <t xml:space="preserve">0.075t/m×3个月。每m²墙=1m桩</t>
  </si>
  <si>
    <t xml:space="preserve">11.2</t>
  </si>
  <si>
    <t xml:space="preserve">卵石层每天约8根，不是15根。每根对应9m²</t>
  </si>
  <si>
    <t xml:space="preserve">11.3</t>
  </si>
  <si>
    <t xml:space="preserve">VIB</t>
  </si>
  <si>
    <t xml:space="preserve">振动锤台班</t>
  </si>
  <si>
    <t xml:space="preserve">振动锤与吊车同步</t>
  </si>
  <si>
    <t xml:space="preserve">11.4</t>
  </si>
  <si>
    <t xml:space="preserve">停用：打桩定位指挥含在吊车司机里</t>
  </si>
  <si>
    <t xml:space="preserve">11.5</t>
  </si>
  <si>
    <t xml:space="preserve">停用：挂钩工不另计，打拔由吊车和振动锤完成</t>
  </si>
  <si>
    <t xml:space="preserve">11.6</t>
  </si>
  <si>
    <t xml:space="preserve">CHN</t>
  </si>
  <si>
    <t xml:space="preserve">槽钢围檩租赁</t>
  </si>
  <si>
    <t xml:space="preserve">一道围檩20kg/m×3个月。槽钢租赁，不是螺纹钢买断</t>
  </si>
  <si>
    <t xml:space="preserve">12.1</t>
  </si>
  <si>
    <t xml:space="preserve">RIG</t>
  </si>
  <si>
    <t xml:space="preserve">降水钻机台班</t>
  </si>
  <si>
    <t xml:space="preserve">卵石层12m成井，两口/台班。挖机不能成井</t>
  </si>
  <si>
    <t xml:space="preserve">12.2</t>
  </si>
  <si>
    <t xml:space="preserve">PIPE</t>
  </si>
  <si>
    <t xml:space="preserve">降水井管</t>
  </si>
  <si>
    <t xml:space="preserve">井深12m，含滤水管</t>
  </si>
  <si>
    <t xml:space="preserve">12.3</t>
  </si>
  <si>
    <t xml:space="preserve">环状滤料约0.8m³/口。原1.2m³偏大</t>
  </si>
  <si>
    <t xml:space="preserve">12.4</t>
  </si>
  <si>
    <t xml:space="preserve">封井</t>
  </si>
  <si>
    <t xml:space="preserve">12.5</t>
  </si>
  <si>
    <t xml:space="preserve">WP</t>
  </si>
  <si>
    <t xml:space="preserve">潜水泵7.5kW台班</t>
  </si>
  <si>
    <t xml:space="preserve">运行约40个台班/口，不是全场再加</t>
  </si>
  <si>
    <t xml:space="preserve">12.6</t>
  </si>
  <si>
    <t xml:space="preserve">下管洗井1工日+巡井摊1工日。原4工日/口偏高</t>
  </si>
  <si>
    <t xml:space="preserve">12.7</t>
  </si>
  <si>
    <t xml:space="preserve">停用：成井验收不单列技工，下管人工已在普工</t>
  </si>
  <si>
    <t xml:space="preserve">13.1</t>
  </si>
  <si>
    <t xml:space="preserve">180m³/台班。松散废渣，含等待密闭装车</t>
  </si>
  <si>
    <t xml:space="preserve">13.2</t>
  </si>
  <si>
    <t xml:space="preserve">DMP</t>
  </si>
  <si>
    <t xml:space="preserve">自卸汽车15t台班</t>
  </si>
  <si>
    <t xml:space="preserve">场内200m，约320m³/台班。原0.006把循环算成15分钟</t>
  </si>
  <si>
    <t xml:space="preserve">13.3</t>
  </si>
  <si>
    <t xml:space="preserve">停用：清边指挥苫盖含在挖机、自卸司机里</t>
  </si>
  <si>
    <t xml:space="preserve">干式清淤：挖机1台班、围堰和清底3工日、编织袋及抽水。按39m³摊销。</t>
  </si>
  <si>
    <t xml:space="preserve">14.1</t>
  </si>
  <si>
    <t xml:space="preserve">河道边干挖39m³，含就位。1台班，不是0.5台班</t>
  </si>
  <si>
    <t xml:space="preserve">14.2</t>
  </si>
  <si>
    <t xml:space="preserve">围堰2工日+清底1工日。司机在挖机台班里，不另加带班</t>
  </si>
  <si>
    <t xml:space="preserve">14.3</t>
  </si>
  <si>
    <t xml:space="preserve">DRY</t>
  </si>
  <si>
    <t xml:space="preserve">底泥干挖措施</t>
  </si>
  <si>
    <t xml:space="preserve">编织袋200条围堰+泵0.5台班抽水。摊到每立方米</t>
  </si>
  <si>
    <t xml:space="preserve">39m³一批处理完，人工按2工日摊到每方。</t>
  </si>
  <si>
    <t xml:space="preserve">15.1</t>
  </si>
  <si>
    <t xml:space="preserve">PAC</t>
  </si>
  <si>
    <t xml:space="preserve">聚合氯化铝PAC</t>
  </si>
  <si>
    <t xml:space="preserve">调理3kg/m³</t>
  </si>
  <si>
    <t xml:space="preserve">15.2</t>
  </si>
  <si>
    <t xml:space="preserve">PAM</t>
  </si>
  <si>
    <t xml:space="preserve">聚丙烯酰胺PAM</t>
  </si>
  <si>
    <t xml:space="preserve">0.2kg/m³</t>
  </si>
  <si>
    <t xml:space="preserve">15.3</t>
  </si>
  <si>
    <t xml:space="preserve">2人1天处理完39m³。原0.1工日/m³是按大生产线估的，这批泥用不到</t>
  </si>
  <si>
    <t xml:space="preserve">15.4</t>
  </si>
  <si>
    <t xml:space="preserve">泵送进料半天。原0.02台班/m³会算出0.78台班</t>
  </si>
  <si>
    <t xml:space="preserve">16.1</t>
  </si>
  <si>
    <t xml:space="preserve">250m³/台班</t>
  </si>
  <si>
    <t xml:space="preserve">16.2</t>
  </si>
  <si>
    <t xml:space="preserve">同废渣，场内短驳约320m³/台班</t>
  </si>
  <si>
    <t xml:space="preserve">16.3</t>
  </si>
  <si>
    <t xml:space="preserve">停用：原矿料苫盖含在装载机司机里</t>
  </si>
  <si>
    <t xml:space="preserve">17.1</t>
  </si>
  <si>
    <t xml:space="preserve">120m³/台班。深7.5m、分层、不得混挖</t>
  </si>
  <si>
    <t xml:space="preserve">17.2</t>
  </si>
  <si>
    <t xml:space="preserve">坑内循环约12分钟，200m³/台班。原0.008偏低产量</t>
  </si>
  <si>
    <t xml:space="preserve">17.3</t>
  </si>
  <si>
    <t xml:space="preserve">停用：污染土修边指挥含在挖机司机里</t>
  </si>
  <si>
    <t xml:space="preserve">17.4</t>
  </si>
  <si>
    <t xml:space="preserve">停用：分层验收不另加每方技工</t>
  </si>
  <si>
    <t xml:space="preserve">运费=吨公里单价×运距+固定费+过磅</t>
  </si>
  <si>
    <t xml:space="preserve">18.1</t>
  </si>
  <si>
    <t xml:space="preserve">RATE</t>
  </si>
  <si>
    <t xml:space="preserve">密闭运输吨公里单价</t>
  </si>
  <si>
    <t xml:space="preserve">t·km</t>
  </si>
  <si>
    <t xml:space="preserve">消耗量等于运距。运距改了，运费跟着变</t>
  </si>
  <si>
    <t xml:space="preserve">18.2</t>
  </si>
  <si>
    <t xml:space="preserve">FIX</t>
  </si>
  <si>
    <t xml:space="preserve">密闭运输固定费</t>
  </si>
  <si>
    <t xml:space="preserve">折旧和司机，每吨一次，不乘运距</t>
  </si>
  <si>
    <t xml:space="preserve">18.3</t>
  </si>
  <si>
    <t xml:space="preserve">TOLL</t>
  </si>
  <si>
    <t xml:space="preserve">高速路桥及过磅</t>
  </si>
  <si>
    <t xml:space="preserve">189.8km高速+进厂过磅。成本库12元/t，不是估算运价</t>
  </si>
  <si>
    <t xml:space="preserve">19.1</t>
  </si>
  <si>
    <t xml:space="preserve">外委</t>
  </si>
  <si>
    <t xml:space="preserve">KILN</t>
  </si>
  <si>
    <t xml:space="preserve">用户确认190元/t，不含运。现场不发生人材机</t>
  </si>
  <si>
    <t xml:space="preserve">20.1</t>
  </si>
  <si>
    <t xml:space="preserve">SOIL</t>
  </si>
  <si>
    <t xml:space="preserve">到场采购价。挖装运在供方，不在现场拆</t>
  </si>
  <si>
    <t xml:space="preserve">21.1</t>
  </si>
  <si>
    <t xml:space="preserve">场内倒运约320m³/台班。原0.004偏多</t>
  </si>
  <si>
    <t xml:space="preserve">21.2</t>
  </si>
  <si>
    <t xml:space="preserve">摊铺约500m³/台班。原0.0025接近，略降</t>
  </si>
  <si>
    <t xml:space="preserve">21.3</t>
  </si>
  <si>
    <t xml:space="preserve">碾压约400m³/台班。原0.0033按300m³偏低</t>
  </si>
  <si>
    <t xml:space="preserve">21.4</t>
  </si>
  <si>
    <t xml:space="preserve">停用：回填检层厚含在压路机、挖机司机里</t>
  </si>
  <si>
    <t xml:space="preserve">22.1</t>
  </si>
  <si>
    <t xml:space="preserve">投加100g/m³</t>
  </si>
  <si>
    <t xml:space="preserve">22.2</t>
  </si>
  <si>
    <t xml:space="preserve">投加2g/m³</t>
  </si>
  <si>
    <t xml:space="preserve">22.3</t>
  </si>
  <si>
    <t xml:space="preserve">60m³/台班，含电</t>
  </si>
  <si>
    <t xml:space="preserve">22.4</t>
  </si>
  <si>
    <t xml:space="preserve">2人/天，处理能力300m³/d</t>
  </si>
  <si>
    <t xml:space="preserve">23.1</t>
  </si>
  <si>
    <t xml:space="preserve">30km往返约2.5h/车，一台班2车×10m³。原0.033按3车，这个运距做不到</t>
  </si>
  <si>
    <t xml:space="preserve">23.2</t>
  </si>
  <si>
    <t xml:space="preserve">停用：废水外运司机和联单含在运输台班里</t>
  </si>
  <si>
    <t xml:space="preserve">24.1</t>
  </si>
  <si>
    <t xml:space="preserve">WWD</t>
  </si>
  <si>
    <t xml:space="preserve">工业污水厂接收</t>
  </si>
  <si>
    <t xml:space="preserve">外委接收。40元无收费文件支撑，改回方案75元/m³。不是现场人材机</t>
  </si>
  <si>
    <t xml:space="preserve">按出土高峰核算。不按12个月日历摊人、摊车。</t>
  </si>
  <si>
    <t xml:space="preserve">25.1</t>
  </si>
  <si>
    <t xml:space="preserve">只在出土高峰60天配1人，做裸土覆盖和出场保洁。防尘网另有清单，洗车司机在冲洗平台，不在这里</t>
  </si>
  <si>
    <t xml:space="preserve">25.2</t>
  </si>
  <si>
    <t xml:space="preserve">DIE</t>
  </si>
  <si>
    <t xml:space="preserve">0号柴油</t>
  </si>
  <si>
    <t xml:space="preserve">L</t>
  </si>
  <si>
    <t xml:space="preserve">停用：油料已含在洒水车台班，原1800L重复</t>
  </si>
  <si>
    <t xml:space="preserve">25.3</t>
  </si>
  <si>
    <t xml:space="preserve">SPR</t>
  </si>
  <si>
    <t xml:space="preserve">洒水车台班</t>
  </si>
  <si>
    <t xml:space="preserve">挖运及回填约90个工作日，每天洒水0.5台班。不是12个月40个全天台班，也不是隔天满打</t>
  </si>
  <si>
    <t xml:space="preserve">26.1</t>
  </si>
  <si>
    <t xml:space="preserve">AIR</t>
  </si>
  <si>
    <t xml:space="preserve">大气监测外委</t>
  </si>
  <si>
    <t xml:space="preserve">成本库750元/点次，化验外委</t>
  </si>
  <si>
    <t xml:space="preserve">27.1</t>
  </si>
  <si>
    <t xml:space="preserve">NOI</t>
  </si>
  <si>
    <t xml:space="preserve">噪声监测外委</t>
  </si>
  <si>
    <t xml:space="preserve">成本库200元/点次</t>
  </si>
  <si>
    <t xml:space="preserve">28.1</t>
  </si>
  <si>
    <t xml:space="preserve">WQM</t>
  </si>
  <si>
    <t xml:space="preserve">废水监测外委</t>
  </si>
  <si>
    <t xml:space="preserve">成本库300元/样</t>
  </si>
  <si>
    <t xml:space="preserve">29.1</t>
  </si>
  <si>
    <t xml:space="preserve">GW</t>
  </si>
  <si>
    <t xml:space="preserve">地下水监测外委</t>
  </si>
  <si>
    <t xml:space="preserve">成本库1200元/样，特征因子改为锑</t>
  </si>
  <si>
    <t xml:space="preserve">30.1</t>
  </si>
  <si>
    <t xml:space="preserve">SOILT</t>
  </si>
  <si>
    <t xml:space="preserve">土壤检测外委</t>
  </si>
  <si>
    <t xml:space="preserve">成本库150元/样</t>
  </si>
  <si>
    <t xml:space="preserve">31.1</t>
  </si>
  <si>
    <t xml:space="preserve">HW</t>
  </si>
  <si>
    <t xml:space="preserve">危险特性鉴别</t>
  </si>
  <si>
    <t xml:space="preserve">成本库3500元/样</t>
  </si>
  <si>
    <t xml:space="preserve">32.1</t>
  </si>
  <si>
    <t xml:space="preserve">挖机、桩机平板转运，按4台机械×2台班</t>
  </si>
  <si>
    <t xml:space="preserve">32.2</t>
  </si>
  <si>
    <t xml:space="preserve">装卸</t>
  </si>
  <si>
    <t xml:space="preserve">32.3</t>
  </si>
  <si>
    <t xml:space="preserve">停用：进出场组织含在吊车、拖车司机里</t>
  </si>
  <si>
    <t xml:space="preserve">清单综合单价合计（不是工程合价）</t>
  </si>
  <si>
    <t xml:space="preserve">基础资源单价（F列黄底蓝字）。台班费在本表用折旧+柴油+人工公式计算，不直接填别的项目台班价。管理费、利润、税金不在本表。</t>
  </si>
  <si>
    <t xml:space="preserve">柴油用乐山2026年7月信息价6.37元/L。台班费=折旧摊销+柴油×油耗+司机。司机已含在台班费内，清单里不再另加司机工日。水泥窑190元/t为用户确认的外委价，不是人材机拆分。</t>
  </si>
  <si>
    <t xml:space="preserve">类别</t>
  </si>
  <si>
    <t xml:space="preserve">名称</t>
  </si>
  <si>
    <t xml:space="preserve">规格/计算式</t>
  </si>
  <si>
    <t xml:space="preserve">不含税单价（元）</t>
  </si>
  <si>
    <t xml:space="preserve">来源</t>
  </si>
  <si>
    <t xml:space="preserve">乐山信息价</t>
  </si>
  <si>
    <t xml:space="preserve">柴油-综合-元-L</t>
  </si>
  <si>
    <t xml:space="preserve">乐山2026年7月不含税</t>
  </si>
  <si>
    <t xml:space="preserve">清底砌筑铺装巡井</t>
  </si>
  <si>
    <t xml:space="preserve">普通工-太化建安-工日</t>
  </si>
  <si>
    <t xml:space="preserve">成本库</t>
  </si>
  <si>
    <t xml:space="preserve">测量焊接指挥</t>
  </si>
  <si>
    <t xml:space="preserve">技工（大工/师傅）日工资</t>
  </si>
  <si>
    <t xml:space="preserve">折旧900+柴油×90L+司机</t>
  </si>
  <si>
    <t xml:space="preserve">台班公式</t>
  </si>
  <si>
    <t xml:space="preserve">油耗90L/台班</t>
  </si>
  <si>
    <t xml:space="preserve">折旧700+柴油×70L+司机</t>
  </si>
  <si>
    <t xml:space="preserve">油耗70L/台班</t>
  </si>
  <si>
    <t xml:space="preserve">折旧550+柴油×45L+司机</t>
  </si>
  <si>
    <t xml:space="preserve">场内倒运</t>
  </si>
  <si>
    <t xml:space="preserve">折旧500+柴油×40L+司机</t>
  </si>
  <si>
    <t xml:space="preserve">油耗40L/台班</t>
  </si>
  <si>
    <t xml:space="preserve">折旧1200+柴油×35L+技工</t>
  </si>
  <si>
    <t xml:space="preserve">油耗35L/台班</t>
  </si>
  <si>
    <t xml:space="preserve">折旧800+柴油×50L</t>
  </si>
  <si>
    <t xml:space="preserve">司机含在吊车</t>
  </si>
  <si>
    <t xml:space="preserve">折旧40+电0.89×7.5×6h</t>
  </si>
  <si>
    <t xml:space="preserve">乐山电价0.89元/kWh</t>
  </si>
  <si>
    <t xml:space="preserve">泵送到场</t>
  </si>
  <si>
    <t xml:space="preserve">商品混凝土C30减20</t>
  </si>
  <si>
    <t xml:space="preserve">库内C30=365</t>
  </si>
  <si>
    <t xml:space="preserve">双光面</t>
  </si>
  <si>
    <t xml:space="preserve">hdpe防渗膜-1-5mm双光面</t>
  </si>
  <si>
    <t xml:space="preserve">非织造</t>
  </si>
  <si>
    <t xml:space="preserve">非织造土工布-400g</t>
  </si>
  <si>
    <t xml:space="preserve">乐山ф16</t>
  </si>
  <si>
    <t xml:space="preserve">热轧带肋钢筋-ф16 HRB400E</t>
  </si>
  <si>
    <t xml:space="preserve">乐山2026年7月</t>
  </si>
  <si>
    <t xml:space="preserve">200×95×53</t>
  </si>
  <si>
    <t xml:space="preserve">页岩配砖-200×95×53</t>
  </si>
  <si>
    <t xml:space="preserve">重庆2026年6月</t>
  </si>
  <si>
    <t xml:space="preserve">预拌</t>
  </si>
  <si>
    <t xml:space="preserve">砌筑砂浆</t>
  </si>
  <si>
    <t xml:space="preserve">便道基层到场</t>
  </si>
  <si>
    <t xml:space="preserve">估价</t>
  </si>
  <si>
    <t xml:space="preserve">雅安到场，库内无碎石</t>
  </si>
  <si>
    <t xml:space="preserve">0.5mm含檩条</t>
  </si>
  <si>
    <t xml:space="preserve">卷材折算+配件</t>
  </si>
  <si>
    <t xml:space="preserve">6针，只计材料</t>
  </si>
  <si>
    <t xml:space="preserve">不含铺设综合价</t>
  </si>
  <si>
    <t xml:space="preserve">SP-U400月租</t>
  </si>
  <si>
    <t xml:space="preserve">库内无租赁价</t>
  </si>
  <si>
    <t xml:space="preserve">φ300含滤水管</t>
  </si>
  <si>
    <t xml:space="preserve">库内无井管价</t>
  </si>
  <si>
    <t xml:space="preserve">混凝</t>
  </si>
  <si>
    <t xml:space="preserve">聚合氯化铝PAC-元-t</t>
  </si>
  <si>
    <t xml:space="preserve">助凝</t>
  </si>
  <si>
    <t xml:space="preserve">聚丙烯酰胺pam</t>
  </si>
  <si>
    <t xml:space="preserve">不含运</t>
  </si>
  <si>
    <t xml:space="preserve">用户确认</t>
  </si>
  <si>
    <t xml:space="preserve">不拆人材机，不用方案300</t>
  </si>
  <si>
    <t xml:space="preserve">雅安到场</t>
  </si>
  <si>
    <t xml:space="preserve">到场采购价</t>
  </si>
  <si>
    <t xml:space="preserve">供方挖装运，现场不拆</t>
  </si>
  <si>
    <t xml:space="preserve">长距分摊</t>
  </si>
  <si>
    <t xml:space="preserve">高速路桥及进厂过磅杂费-元-t</t>
  </si>
  <si>
    <t xml:space="preserve">无合同价</t>
  </si>
  <si>
    <t xml:space="preserve">实施方案表6.1-1</t>
  </si>
  <si>
    <t xml:space="preserve">含锑砷施工废水，不能按城镇污水处理费。无污水厂合同，沿用方案市场报价75元/m³。40元无依据</t>
  </si>
  <si>
    <t xml:space="preserve">废水监测外委-元-样</t>
  </si>
  <si>
    <t xml:space="preserve">砷、锑</t>
  </si>
  <si>
    <t xml:space="preserve">检测外委费-土壤水气危废</t>
  </si>
  <si>
    <t xml:space="preserve">往返油0.64L/km÷实载12t×柴油</t>
  </si>
  <si>
    <t xml:space="preserve">元/t·km</t>
  </si>
  <si>
    <t xml:space="preserve">按距离</t>
  </si>
  <si>
    <t xml:space="preserve">只含随距离增加的油耗</t>
  </si>
  <si>
    <t xml:space="preserve">全项</t>
  </si>
  <si>
    <t xml:space="preserve">百锦路-危险特性鉴别全项</t>
  </si>
  <si>
    <t xml:space="preserve">PLY</t>
  </si>
  <si>
    <t xml:space="preserve">胶合板模板</t>
  </si>
  <si>
    <t xml:space="preserve">2440×1220×9，周转3次摊销</t>
  </si>
  <si>
    <t xml:space="preserve">胶合板-2440×1220×9</t>
  </si>
  <si>
    <t xml:space="preserve">买价17.8，周转3次</t>
  </si>
  <si>
    <t xml:space="preserve">活动房墙屋，按展开面积</t>
  </si>
  <si>
    <t xml:space="preserve">由岩棉夹芯板活动房980元/m²建筑面积拆出</t>
  </si>
  <si>
    <t xml:space="preserve">不含地面和人工。不用彩钢32元冒充</t>
  </si>
  <si>
    <t xml:space="preserve">折旧2500+柴油×60L+司机</t>
  </si>
  <si>
    <t xml:space="preserve">卵石层成井。挖机不能成井</t>
  </si>
  <si>
    <t xml:space="preserve">折旧350+柴油×25L+司机</t>
  </si>
  <si>
    <t xml:space="preserve">不用15t渣土车台班代替</t>
  </si>
  <si>
    <t xml:space="preserve">重型车行</t>
  </si>
  <si>
    <t xml:space="preserve">库内无格栅。槽钢格栅280元/m²</t>
  </si>
  <si>
    <t xml:space="preserve">泵、管路、喷嘴，摊销</t>
  </si>
  <si>
    <t xml:space="preserve">购置约2.4万，12个月摊销1/3</t>
  </si>
  <si>
    <t xml:space="preserve">砖1.83千块+砂浆1.8t</t>
  </si>
  <si>
    <t xml:space="preserve">砖+砂浆公式</t>
  </si>
  <si>
    <t xml:space="preserve">侧池不过车，不配钢筋，不用混凝土</t>
  </si>
  <si>
    <t xml:space="preserve">临时棚柱梁檩条</t>
  </si>
  <si>
    <t xml:space="preserve">乐山方钢信息价约3338元/t上浮</t>
  </si>
  <si>
    <t xml:space="preserve">不用钢筋冒充，也不用夹芯板含骨架</t>
  </si>
  <si>
    <t xml:space="preserve">两座，砖6.87千块+砂浆7.5t</t>
  </si>
  <si>
    <t xml:space="preserve">砖+砂浆</t>
  </si>
  <si>
    <t xml:space="preserve">不过车，不配钢筋，不用模板</t>
  </si>
  <si>
    <t xml:space="preserve">BAG</t>
  </si>
  <si>
    <t xml:space="preserve">编织袋</t>
  </si>
  <si>
    <t xml:space="preserve">装土围堰</t>
  </si>
  <si>
    <t xml:space="preserve">条</t>
  </si>
  <si>
    <t xml:space="preserve">库内无编织袋价</t>
  </si>
  <si>
    <t xml:space="preserve">编织袋200条+排水泵0.5台班</t>
  </si>
  <si>
    <t xml:space="preserve">袋+泵</t>
  </si>
  <si>
    <t xml:space="preserve">隔水围堰和抽水，不含挖机</t>
  </si>
  <si>
    <t xml:space="preserve">Q235B 16-22#，3个月</t>
  </si>
  <si>
    <t xml:space="preserve">由槽钢买价3284.96元/t折月租</t>
  </si>
  <si>
    <t xml:space="preserve">拉森不用螺纹钢。围檩租赁，不买断</t>
  </si>
  <si>
    <t xml:space="preserve">(折旧400+司机300)÷12t</t>
  </si>
  <si>
    <t xml:space="preserve">元/t</t>
  </si>
  <si>
    <t xml:space="preserve">每吨一次</t>
  </si>
  <si>
    <t xml:space="preserve">不乘运距</t>
  </si>
  <si>
    <t xml:space="preserve">工程量计算。黄底为输入，绿底为公式。表6.1-1只提供方量、吨位和运距，不提供单价。</t>
  </si>
  <si>
    <t xml:space="preserve">废渣清挖以表6.1-1的43229.84 m³为准。污染土以表5.3-3的31685.41 m³为准。支护周长、降水井、便道结构为方案未给的施工假设。</t>
  </si>
  <si>
    <t xml:space="preserve">数值</t>
  </si>
  <si>
    <t xml:space="preserve">公式/口径</t>
  </si>
  <si>
    <t xml:space="preserve">去向</t>
  </si>
  <si>
    <t xml:space="preserve">废渣清挖方量</t>
  </si>
  <si>
    <t xml:space="preserve">输入</t>
  </si>
  <si>
    <t xml:space="preserve">表6.1-1</t>
  </si>
  <si>
    <t xml:space="preserve">Ⅱ类一般工业固废</t>
  </si>
  <si>
    <t xml:space="preserve">河道底泥方量</t>
  </si>
  <si>
    <t xml:space="preserve">干式清淤</t>
  </si>
  <si>
    <t xml:space="preserve">原矿料方量</t>
  </si>
  <si>
    <t xml:space="preserve">其他工业固废</t>
  </si>
  <si>
    <t xml:space="preserve">污染土方量</t>
  </si>
  <si>
    <t xml:space="preserve">表5.3-3</t>
  </si>
  <si>
    <t xml:space="preserve">T05</t>
  </si>
  <si>
    <t xml:space="preserve">废渣密度</t>
  </si>
  <si>
    <t xml:space="preserve">t/m³</t>
  </si>
  <si>
    <t xml:space="preserve">第5.3.2.1条</t>
  </si>
  <si>
    <t xml:space="preserve">吨位</t>
  </si>
  <si>
    <t xml:space="preserve">T06</t>
  </si>
  <si>
    <t xml:space="preserve">底泥预处理后重量</t>
  </si>
  <si>
    <t xml:space="preserve">外运</t>
  </si>
  <si>
    <t xml:space="preserve">含水率降至50%</t>
  </si>
  <si>
    <t xml:space="preserve">T07</t>
  </si>
  <si>
    <t xml:space="preserve">原矿料密度</t>
  </si>
  <si>
    <t xml:space="preserve">表6.1-1备注</t>
  </si>
  <si>
    <t xml:space="preserve">T08</t>
  </si>
  <si>
    <t xml:space="preserve">污染土容重</t>
  </si>
  <si>
    <t xml:space="preserve">T09</t>
  </si>
  <si>
    <t xml:space="preserve">水泥窑运距</t>
  </si>
  <si>
    <t xml:space="preserve">km</t>
  </si>
  <si>
    <t xml:space="preserve">第5.3.2.2条乐山诺聚</t>
  </si>
  <si>
    <t xml:space="preserve">运费单列</t>
  </si>
  <si>
    <t xml:space="preserve">T10</t>
  </si>
  <si>
    <t xml:space="preserve">清洁土增容比</t>
  </si>
  <si>
    <t xml:space="preserve">-</t>
  </si>
  <si>
    <t xml:space="preserve">表6.1-1口径</t>
  </si>
  <si>
    <t xml:space="preserve">回填</t>
  </si>
  <si>
    <t xml:space="preserve">只回补污染土坑</t>
  </si>
  <si>
    <t xml:space="preserve">T11</t>
  </si>
  <si>
    <t xml:space="preserve">遗留废水</t>
  </si>
  <si>
    <t xml:space="preserve">第1.1条</t>
  </si>
  <si>
    <t xml:space="preserve">废水</t>
  </si>
  <si>
    <t xml:space="preserve">T12</t>
  </si>
  <si>
    <t xml:space="preserve">基坑废水</t>
  </si>
  <si>
    <t xml:space="preserve">T13</t>
  </si>
  <si>
    <t xml:space="preserve">底泥余水</t>
  </si>
  <si>
    <t xml:space="preserve">施工便道长度</t>
  </si>
  <si>
    <t xml:space="preserve">临建</t>
  </si>
  <si>
    <t xml:space="preserve">宽3m</t>
  </si>
  <si>
    <t xml:space="preserve">截水沟长度</t>
  </si>
  <si>
    <t xml:space="preserve">防渗面积</t>
  </si>
  <si>
    <t xml:space="preserve">两布一膜+15cm</t>
  </si>
  <si>
    <t xml:space="preserve">T17</t>
  </si>
  <si>
    <t xml:space="preserve">基坑临边周长</t>
  </si>
  <si>
    <t xml:space="preserve">支护</t>
  </si>
  <si>
    <t xml:space="preserve">方案未给周长</t>
  </si>
  <si>
    <t xml:space="preserve">T18</t>
  </si>
  <si>
    <t xml:space="preserve">拉森桩长</t>
  </si>
  <si>
    <t xml:space="preserve">覆盖最大挖深7.5m</t>
  </si>
  <si>
    <t xml:space="preserve">降水井数量</t>
  </si>
  <si>
    <t xml:space="preserve">降水</t>
  </si>
  <si>
    <t xml:space="preserve">临河侧间距5m</t>
  </si>
  <si>
    <t xml:space="preserve">T20</t>
  </si>
  <si>
    <t xml:space="preserve">降水井深</t>
  </si>
  <si>
    <t xml:space="preserve">围挡长度</t>
  </si>
  <si>
    <t xml:space="preserve">防尘网面积</t>
  </si>
  <si>
    <t xml:space="preserve">办公板房面积</t>
  </si>
  <si>
    <t xml:space="preserve">12个月只计一次安拆</t>
  </si>
  <si>
    <t xml:space="preserve">底泥棚面积</t>
  </si>
  <si>
    <t xml:space="preserve">20×10m</t>
  </si>
  <si>
    <t xml:space="preserve">T25</t>
  </si>
  <si>
    <t xml:space="preserve">万元</t>
  </si>
  <si>
    <t xml:space="preserve">对照</t>
  </si>
  <si>
    <t xml:space="preserve">不参与组价</t>
  </si>
  <si>
    <t xml:space="preserve">派生量</t>
  </si>
  <si>
    <t xml:space="preserve">D01</t>
  </si>
  <si>
    <t xml:space="preserve">废渣吨位</t>
  </si>
  <si>
    <t xml:space="preserve">T01×密度</t>
  </si>
  <si>
    <t xml:space="preserve">应≈64844.76</t>
  </si>
  <si>
    <t xml:space="preserve">D02</t>
  </si>
  <si>
    <t xml:space="preserve">原矿料吨位</t>
  </si>
  <si>
    <t xml:space="preserve">T03×密度</t>
  </si>
  <si>
    <t xml:space="preserve">应≈379.20</t>
  </si>
  <si>
    <t xml:space="preserve">D03</t>
  </si>
  <si>
    <t xml:space="preserve">污染土吨位</t>
  </si>
  <si>
    <t xml:space="preserve">T04×容重</t>
  </si>
  <si>
    <t xml:space="preserve">应≈50696.66</t>
  </si>
  <si>
    <t xml:space="preserve">外运合计</t>
  </si>
  <si>
    <t xml:space="preserve">废渣+底泥+原矿料+污染土</t>
  </si>
  <si>
    <t xml:space="preserve">应≈115953.12</t>
  </si>
  <si>
    <t xml:space="preserve">运输/窑</t>
  </si>
  <si>
    <t xml:space="preserve">废水合计</t>
  </si>
  <si>
    <t xml:space="preserve">三类废水</t>
  </si>
  <si>
    <t xml:space="preserve">应≈28204.27</t>
  </si>
  <si>
    <t xml:space="preserve">处理</t>
  </si>
  <si>
    <t xml:space="preserve">污染土×1.1</t>
  </si>
  <si>
    <t xml:space="preserve">应≈34853.95</t>
  </si>
  <si>
    <t xml:space="preserve">D07</t>
  </si>
  <si>
    <t xml:space="preserve">清挖总量</t>
  </si>
  <si>
    <t xml:space="preserve">四类实方</t>
  </si>
  <si>
    <t xml:space="preserve">校核</t>
  </si>
  <si>
    <t xml:space="preserve">D08</t>
  </si>
  <si>
    <t xml:space="preserve">便道面积</t>
  </si>
  <si>
    <t xml:space="preserve">长×3m</t>
  </si>
  <si>
    <t xml:space="preserve">拉森面积</t>
  </si>
  <si>
    <t xml:space="preserve">周长×桩长</t>
  </si>
  <si>
    <t xml:space="preserve">D10</t>
  </si>
  <si>
    <t xml:space="preserve">拉森吨位</t>
  </si>
  <si>
    <t xml:space="preserve">面积×75kg/m</t>
  </si>
  <si>
    <t xml:space="preserve">SP-U400</t>
  </si>
  <si>
    <t xml:space="preserve">租赁</t>
  </si>
  <si>
    <t xml:space="preserve">D11</t>
  </si>
  <si>
    <t xml:space="preserve">井管延米</t>
  </si>
  <si>
    <t xml:space="preserve">井数×井深</t>
  </si>
  <si>
    <t xml:space="preserve">污染土分层校核（表5.3-3，砷、锑）</t>
  </si>
  <si>
    <t xml:space="preserve">层位</t>
  </si>
  <si>
    <t xml:space="preserve">深度m</t>
  </si>
  <si>
    <t xml:space="preserve">面积m²</t>
  </si>
  <si>
    <t xml:space="preserve">方量m³</t>
  </si>
  <si>
    <t xml:space="preserve">面积×深度</t>
  </si>
  <si>
    <t xml:space="preserve">偏差</t>
  </si>
  <si>
    <t xml:space="preserve">0-0.5m</t>
  </si>
  <si>
    <t xml:space="preserve">0.5-1.5m</t>
  </si>
  <si>
    <t xml:space="preserve">1.5-2.5m</t>
  </si>
  <si>
    <t xml:space="preserve">锑</t>
  </si>
  <si>
    <t xml:space="preserve">2.5-3.5m</t>
  </si>
  <si>
    <t xml:space="preserve">3.5-4.5m</t>
  </si>
  <si>
    <t xml:space="preserve">4.5-5.5m</t>
  </si>
  <si>
    <t xml:space="preserve">5.5-6.5m</t>
  </si>
  <si>
    <t xml:space="preserve">6.5-7.5m</t>
  </si>
  <si>
    <t xml:space="preserve">合计</t>
  </si>
  <si>
    <t xml:space="preserve">监测点次（方案未给，黄底可改）</t>
  </si>
  <si>
    <t xml:space="preserve">大气监测点次</t>
  </si>
  <si>
    <t xml:space="preserve">4点×12月估</t>
  </si>
  <si>
    <t xml:space="preserve">噪声监测点次</t>
  </si>
  <si>
    <t xml:space="preserve">2点×12月估</t>
  </si>
  <si>
    <t xml:space="preserve">废水监测样次</t>
  </si>
  <si>
    <t xml:space="preserve">2样×12月估</t>
  </si>
  <si>
    <t xml:space="preserve">地下水监测样次</t>
  </si>
  <si>
    <t xml:space="preserve">3井×12月估</t>
  </si>
  <si>
    <t xml:space="preserve">土壤自检样品</t>
  </si>
  <si>
    <t xml:space="preserve">基坑侧壁坑底估</t>
  </si>
  <si>
    <t xml:space="preserve">危废鉴别样品</t>
  </si>
  <si>
    <t xml:space="preserve">外运分批估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</si>
</sst>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0.0%"/>
    <numFmt numFmtId="167" formatCode="0.00%"/>
    <numFmt numFmtId="168" formatCode="#,##0"/>
    <numFmt numFmtId="169" formatCode="0.0000"/>
    <numFmt numFmtId="170" formatCode="0.00"/>
  </numFmts>
  <fonts count="17">
    <font>
      <sz val="11"/>
      <color theme="1"/>
      <name val="Noto Sans SC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8"/>
      <color rgb="FF1F4E79"/>
      <name val="微软雅黑"/>
      <family val="0"/>
      <charset val="1"/>
    </font>
    <font>
      <sz val="8"/>
      <color rgb="FF64748B"/>
      <name val="微软雅黑"/>
      <family val="0"/>
      <charset val="1"/>
    </font>
    <font>
      <b val="true"/>
      <sz val="12"/>
      <color rgb="FF1F4E79"/>
      <name val="微软雅黑"/>
      <family val="0"/>
      <charset val="1"/>
    </font>
    <font>
      <b val="true"/>
      <sz val="10"/>
      <color rgb="FFFFFFFF"/>
      <name val="微软雅黑"/>
      <family val="0"/>
      <charset val="1"/>
    </font>
    <font>
      <sz val="9"/>
      <color rgb="FF334155"/>
      <name val="微软雅黑"/>
      <family val="0"/>
      <charset val="1"/>
    </font>
    <font>
      <sz val="9"/>
      <color rgb="FF008000"/>
      <name val="微软雅黑"/>
      <family val="0"/>
      <charset val="1"/>
    </font>
    <font>
      <b val="true"/>
      <sz val="9"/>
      <color rgb="FF334155"/>
      <name val="微软雅黑"/>
      <family val="0"/>
      <charset val="1"/>
    </font>
    <font>
      <sz val="9"/>
      <color rgb="FF000000"/>
      <name val="微软雅黑"/>
      <family val="0"/>
      <charset val="1"/>
    </font>
    <font>
      <b val="true"/>
      <sz val="9"/>
      <color rgb="FFFFFFFF"/>
      <name val="微软雅黑"/>
      <family val="0"/>
      <charset val="1"/>
    </font>
    <font>
      <sz val="9"/>
      <color rgb="FF0000FF"/>
      <name val="微软雅黑"/>
      <family val="0"/>
      <charset val="1"/>
    </font>
    <font>
      <b val="true"/>
      <sz val="11"/>
      <color rgb="FFFFFFFF"/>
      <name val="微软雅黑"/>
      <family val="0"/>
      <charset val="1"/>
    </font>
    <font>
      <b val="true"/>
      <sz val="18"/>
      <color rgb="FF000000"/>
      <name val="Noto Sans SC"/>
      <family val="2"/>
    </font>
    <font>
      <sz val="10"/>
      <color rgb="FF000000"/>
      <name val="Noto Sans SC"/>
      <family val="2"/>
    </font>
  </fonts>
  <fills count="9">
    <fill>
      <patternFill patternType="none"/>
    </fill>
    <fill>
      <patternFill patternType="gray125"/>
    </fill>
    <fill>
      <patternFill patternType="solid">
        <fgColor rgb="FFE8F0F8"/>
        <bgColor rgb="FFE7EEF6"/>
      </patternFill>
    </fill>
    <fill>
      <patternFill patternType="solid">
        <fgColor rgb="FF1F4E79"/>
        <bgColor rgb="FF334155"/>
      </patternFill>
    </fill>
    <fill>
      <patternFill patternType="solid">
        <fgColor rgb="FFFFFFFF"/>
        <bgColor rgb="FFF9F9F9"/>
      </patternFill>
    </fill>
    <fill>
      <patternFill patternType="solid">
        <fgColor rgb="FF0F6E6B"/>
        <bgColor rgb="FF1F4E79"/>
      </patternFill>
    </fill>
    <fill>
      <patternFill patternType="solid">
        <fgColor rgb="FFE7EEF6"/>
        <bgColor rgb="FFE8F0F8"/>
      </patternFill>
    </fill>
    <fill>
      <patternFill patternType="solid">
        <fgColor rgb="FFFFF2CC"/>
        <bgColor rgb="FFF9F9F9"/>
      </patternFill>
    </fill>
    <fill>
      <patternFill patternType="solid">
        <fgColor rgb="FFE7F6EE"/>
        <bgColor rgb="FFE8F0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34155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EEF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F6E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F6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6B"/>
      <rgbColor rgb="FFD9D9D9"/>
      <rgbColor rgb="FF878787"/>
      <rgbColor rgb="FF93A9CE"/>
      <rgbColor rgb="FFAB4744"/>
      <rgbColor rgb="FFFFF2CC"/>
      <rgbColor rgb="FFE7F6EE"/>
      <rgbColor rgb="FF660066"/>
      <rgbColor rgb="FFDC853E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8F0F8"/>
      <rgbColor rgb="FFE7EEF6"/>
      <rgbColor rgb="FFF9F9F9"/>
      <rgbColor rgb="FF99CCFF"/>
      <rgbColor rgb="FFD09493"/>
      <rgbColor rgb="FFCC99FF"/>
      <rgbColor rgb="FFFFCC99"/>
      <rgbColor rgb="FF4672A8"/>
      <rgbColor rgb="FF33CCCC"/>
      <rgbColor rgb="FF99CC00"/>
      <rgbColor rgb="FFFFCC00"/>
      <rgbColor rgb="FFFF9900"/>
      <rgbColor rgb="FFFF6600"/>
      <rgbColor rgb="FF64748B"/>
      <rgbColor rgb="FF8AA64F"/>
      <rgbColor rgb="FF003366"/>
      <rgbColor rgb="FF4299B0"/>
      <rgbColor rgb="FF003300"/>
      <rgbColor rgb="FF333300"/>
      <rgbColor rgb="FF993300"/>
      <rgbColor rgb="FF725990"/>
      <rgbColor rgb="FF1F4E7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分部直接费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费用汇总!$B$39</c:f>
              <c:strCache>
                <c:ptCount val="1"/>
                <c:pt idx="0">
                  <c:v>合价（元）</c:v>
                </c:pt>
              </c:strCache>
            </c:strRef>
          </c:tx>
          <c:spPr>
            <a:solidFill>
              <a:srgbClr val="1F4E7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费用汇总!$A$40:$A$47</c:f>
              <c:strCache>
                <c:ptCount val="8"/>
                <c:pt idx="0">
                  <c:v>A临建</c:v>
                </c:pt>
                <c:pt idx="1">
                  <c:v>B支护降水</c:v>
                </c:pt>
                <c:pt idx="2">
                  <c:v>C清挖</c:v>
                </c:pt>
                <c:pt idx="3">
                  <c:v>D外运处置</c:v>
                </c:pt>
                <c:pt idx="4">
                  <c:v>E回填</c:v>
                </c:pt>
                <c:pt idx="5">
                  <c:v>F废水</c:v>
                </c:pt>
                <c:pt idx="6">
                  <c:v>G措施</c:v>
                </c:pt>
                <c:pt idx="7">
                  <c:v>H监测</c:v>
                </c:pt>
              </c:strCache>
            </c:strRef>
          </c:cat>
          <c:val>
            <c:numRef>
              <c:f>费用汇总!$B$40:$B$47</c:f>
              <c:numCache>
                <c:formatCode>#,##0.00</c:formatCode>
                <c:ptCount val="8"/>
                <c:pt idx="0">
                  <c:v>428651.9125</c:v>
                </c:pt>
                <c:pt idx="1">
                  <c:v>479877.534</c:v>
                </c:pt>
                <c:pt idx="2">
                  <c:v>1229042.0845036</c:v>
                </c:pt>
                <c:pt idx="3">
                  <c:v>37663278.9066675</c:v>
                </c:pt>
                <c:pt idx="4">
                  <c:v>1902800.91661605</c:v>
                </c:pt>
                <c:pt idx="5">
                  <c:v>3816131.79224045</c:v>
                </c:pt>
                <c:pt idx="6">
                  <c:v>54416.25</c:v>
                </c:pt>
                <c:pt idx="7">
                  <c:v>131200</c:v>
                </c:pt>
              </c:numCache>
            </c:numRef>
          </c:val>
        </c:ser>
        <c:gapWidth val="150"/>
        <c:overlap val="0"/>
        <c:axId val="55804024"/>
        <c:axId val="67368879"/>
      </c:barChart>
      <c:catAx>
        <c:axId val="558040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368879"/>
        <c:crosses val="autoZero"/>
        <c:auto val="1"/>
        <c:lblAlgn val="ctr"/>
        <c:lblOffset val="100"/>
        <c:noMultiLvlLbl val="0"/>
      </c:catAx>
      <c:valAx>
        <c:axId val="673688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8040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分部占比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费用汇总!$B$39</c:f>
              <c:strCache>
                <c:ptCount val="1"/>
                <c:pt idx="0">
                  <c:v>合价（元）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费用汇总!$A$40:$A$47</c:f>
              <c:strCache>
                <c:ptCount val="8"/>
                <c:pt idx="0">
                  <c:v>A临建</c:v>
                </c:pt>
                <c:pt idx="1">
                  <c:v>B支护降水</c:v>
                </c:pt>
                <c:pt idx="2">
                  <c:v>C清挖</c:v>
                </c:pt>
                <c:pt idx="3">
                  <c:v>D外运处置</c:v>
                </c:pt>
                <c:pt idx="4">
                  <c:v>E回填</c:v>
                </c:pt>
                <c:pt idx="5">
                  <c:v>F废水</c:v>
                </c:pt>
                <c:pt idx="6">
                  <c:v>G措施</c:v>
                </c:pt>
                <c:pt idx="7">
                  <c:v>H监测</c:v>
                </c:pt>
              </c:strCache>
            </c:strRef>
          </c:cat>
          <c:val>
            <c:numRef>
              <c:f>费用汇总!$B$40:$B$47</c:f>
              <c:numCache>
                <c:formatCode>#,##0.00</c:formatCode>
                <c:ptCount val="8"/>
                <c:pt idx="0">
                  <c:v>428651.9125</c:v>
                </c:pt>
                <c:pt idx="1">
                  <c:v>479877.534</c:v>
                </c:pt>
                <c:pt idx="2">
                  <c:v>1229042.0845036</c:v>
                </c:pt>
                <c:pt idx="3">
                  <c:v>37663278.9066675</c:v>
                </c:pt>
                <c:pt idx="4">
                  <c:v>1902800.91661605</c:v>
                </c:pt>
                <c:pt idx="5">
                  <c:v>3816131.79224045</c:v>
                </c:pt>
                <c:pt idx="6">
                  <c:v>54416.25</c:v>
                </c:pt>
                <c:pt idx="7">
                  <c:v>131200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71</xdr:row>
      <xdr:rowOff>0</xdr:rowOff>
    </xdr:from>
    <xdr:to>
      <xdr:col>3</xdr:col>
      <xdr:colOff>1444680</xdr:colOff>
      <xdr:row>84</xdr:row>
      <xdr:rowOff>35280</xdr:rowOff>
    </xdr:to>
    <xdr:graphicFrame>
      <xdr:nvGraphicFramePr>
        <xdr:cNvPr id="1" name="Chart 1"/>
        <xdr:cNvGraphicFramePr/>
      </xdr:nvGraphicFramePr>
      <xdr:xfrm>
        <a:off x="0" y="16459200"/>
        <a:ext cx="5392440" cy="3007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71</xdr:row>
      <xdr:rowOff>0</xdr:rowOff>
    </xdr:from>
    <xdr:to>
      <xdr:col>9</xdr:col>
      <xdr:colOff>364680</xdr:colOff>
      <xdr:row>84</xdr:row>
      <xdr:rowOff>35280</xdr:rowOff>
    </xdr:to>
    <xdr:graphicFrame>
      <xdr:nvGraphicFramePr>
        <xdr:cNvPr id="2" name="Chart 2"/>
        <xdr:cNvGraphicFramePr/>
      </xdr:nvGraphicFramePr>
      <xdr:xfrm>
        <a:off x="7470720" y="16459200"/>
        <a:ext cx="4311720" cy="3007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B2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1" activeCellId="0" sqref="G31"/>
    </sheetView>
  </sheetViews>
  <sheetFormatPr defaultColWidth="7.89453125" defaultRowHeight="18" customHeight="false" zeroHeight="false" outlineLevelRow="0" outlineLevelCol="0"/>
  <cols>
    <col collapsed="false" customWidth="true" hidden="false" outlineLevel="0" max="1" min="1" style="0" width="2.73"/>
    <col collapsed="false" customWidth="true" hidden="false" outlineLevel="0" max="2" min="2" style="0" width="14.56"/>
    <col collapsed="false" customWidth="true" hidden="false" outlineLevel="0" max="3" min="3" style="0" width="16.39"/>
    <col collapsed="false" customWidth="true" hidden="false" outlineLevel="0" max="4" min="4" style="0" width="18.2"/>
    <col collapsed="false" customWidth="true" hidden="false" outlineLevel="0" max="5" min="5" style="0" width="20.01"/>
    <col collapsed="false" customWidth="true" hidden="false" outlineLevel="0" max="6" min="6" style="0" width="14.56"/>
    <col collapsed="false" customWidth="true" hidden="false" outlineLevel="0" max="7" min="7" style="0" width="16.39"/>
  </cols>
  <sheetData>
    <row r="2" customFormat="false" ht="24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24" hidden="false" customHeight="true" outlineLevel="0" collapsed="false">
      <c r="B3" s="1"/>
      <c r="C3" s="1"/>
      <c r="D3" s="1"/>
      <c r="E3" s="1"/>
      <c r="F3" s="1"/>
      <c r="G3" s="1"/>
    </row>
    <row r="5" customFormat="false" ht="15" hidden="false" customHeight="true" outlineLevel="0" collapsed="false">
      <c r="B5" s="2" t="s">
        <v>1</v>
      </c>
      <c r="C5" s="2"/>
      <c r="D5" s="2"/>
      <c r="E5" s="2"/>
      <c r="F5" s="2"/>
      <c r="G5" s="2"/>
    </row>
    <row r="7" customFormat="false" ht="15" hidden="false" customHeight="true" outlineLevel="0" collapsed="false">
      <c r="B7" s="3" t="s">
        <v>2</v>
      </c>
      <c r="C7" s="3"/>
      <c r="D7" s="3"/>
      <c r="E7" s="3"/>
      <c r="F7" s="3"/>
      <c r="G7" s="3"/>
    </row>
    <row r="8" customFormat="false" ht="15" hidden="false" customHeight="true" outlineLevel="0" collapsed="false">
      <c r="B8" s="4" t="s">
        <v>3</v>
      </c>
      <c r="C8" s="4"/>
      <c r="D8" s="4" t="s">
        <v>4</v>
      </c>
      <c r="E8" s="4" t="s">
        <v>5</v>
      </c>
    </row>
    <row r="9" customFormat="false" ht="15" hidden="false" customHeight="true" outlineLevel="0" collapsed="false">
      <c r="B9" s="5" t="s">
        <v>6</v>
      </c>
      <c r="C9" s="5"/>
      <c r="D9" s="6" t="n">
        <f aca="false">费用汇总!E57</f>
        <v>49430389.4473446</v>
      </c>
      <c r="E9" s="5" t="s">
        <v>7</v>
      </c>
      <c r="F9" s="5"/>
      <c r="G9" s="5"/>
    </row>
    <row r="10" customFormat="false" ht="15" hidden="false" customHeight="true" outlineLevel="0" collapsed="false">
      <c r="B10" s="5" t="s">
        <v>8</v>
      </c>
      <c r="C10" s="5"/>
      <c r="D10" s="6" t="n">
        <f aca="false">费用汇总!E52</f>
        <v>45705399.3965276</v>
      </c>
      <c r="E10" s="5" t="s">
        <v>9</v>
      </c>
      <c r="F10" s="5"/>
      <c r="G10" s="5"/>
    </row>
    <row r="11" customFormat="false" ht="15" hidden="false" customHeight="true" outlineLevel="0" collapsed="false">
      <c r="B11" s="5" t="s">
        <v>10</v>
      </c>
      <c r="C11" s="5"/>
      <c r="D11" s="6" t="n">
        <f aca="false">费用汇总!E55</f>
        <v>47990669.366354</v>
      </c>
      <c r="E11" s="5" t="s">
        <v>11</v>
      </c>
      <c r="F11" s="5"/>
      <c r="G11" s="5"/>
    </row>
    <row r="12" customFormat="false" ht="15" hidden="false" customHeight="true" outlineLevel="0" collapsed="false">
      <c r="B12" s="5" t="s">
        <v>12</v>
      </c>
      <c r="C12" s="5"/>
      <c r="D12" s="6" t="n">
        <f aca="false">费用汇总!E58</f>
        <v>57980000</v>
      </c>
      <c r="E12" s="5" t="s">
        <v>13</v>
      </c>
      <c r="F12" s="5"/>
      <c r="G12" s="5"/>
    </row>
    <row r="13" customFormat="false" ht="15" hidden="false" customHeight="true" outlineLevel="0" collapsed="false">
      <c r="B13" s="5" t="s">
        <v>14</v>
      </c>
      <c r="C13" s="5"/>
      <c r="D13" s="6" t="n">
        <f aca="false">费用汇总!E59</f>
        <v>-8549610.55265538</v>
      </c>
      <c r="E13" s="5" t="s">
        <v>15</v>
      </c>
      <c r="F13" s="5"/>
      <c r="G13" s="5"/>
    </row>
    <row r="14" customFormat="false" ht="15" hidden="false" customHeight="true" outlineLevel="0" collapsed="false">
      <c r="B14" s="7" t="s">
        <v>5</v>
      </c>
      <c r="C14" s="7"/>
      <c r="D14" s="7"/>
      <c r="E14" s="7"/>
      <c r="F14" s="7"/>
      <c r="G14" s="7"/>
    </row>
    <row r="15" customFormat="false" ht="18" hidden="false" customHeight="true" outlineLevel="0" collapsed="false">
      <c r="B15" s="8" t="s">
        <v>16</v>
      </c>
      <c r="C15" s="5" t="s">
        <v>17</v>
      </c>
      <c r="D15" s="5"/>
      <c r="E15" s="5"/>
      <c r="F15" s="5"/>
      <c r="G15" s="5"/>
    </row>
    <row r="16" customFormat="false" ht="18" hidden="false" customHeight="true" outlineLevel="0" collapsed="false">
      <c r="B16" s="8" t="s">
        <v>18</v>
      </c>
      <c r="C16" s="5" t="s">
        <v>19</v>
      </c>
      <c r="D16" s="5"/>
      <c r="E16" s="5"/>
      <c r="F16" s="5"/>
      <c r="G16" s="5"/>
    </row>
    <row r="17" customFormat="false" ht="18" hidden="false" customHeight="true" outlineLevel="0" collapsed="false">
      <c r="B17" s="8" t="s">
        <v>20</v>
      </c>
      <c r="C17" s="5" t="s">
        <v>21</v>
      </c>
      <c r="D17" s="5"/>
      <c r="E17" s="5"/>
      <c r="F17" s="5"/>
      <c r="G17" s="5"/>
    </row>
    <row r="18" customFormat="false" ht="18" hidden="false" customHeight="true" outlineLevel="0" collapsed="false">
      <c r="B18" s="8" t="s">
        <v>22</v>
      </c>
      <c r="C18" s="5" t="s">
        <v>23</v>
      </c>
      <c r="D18" s="5"/>
      <c r="E18" s="5"/>
      <c r="F18" s="5"/>
      <c r="G18" s="5"/>
    </row>
    <row r="19" customFormat="false" ht="18" hidden="false" customHeight="true" outlineLevel="0" collapsed="false">
      <c r="B19" s="8" t="s">
        <v>24</v>
      </c>
      <c r="C19" s="5" t="s">
        <v>25</v>
      </c>
      <c r="D19" s="5"/>
      <c r="E19" s="5"/>
      <c r="F19" s="5"/>
      <c r="G19" s="5"/>
    </row>
    <row r="20" customFormat="false" ht="18" hidden="false" customHeight="true" outlineLevel="0" collapsed="false">
      <c r="B20" s="8" t="s">
        <v>26</v>
      </c>
      <c r="C20" s="5" t="s">
        <v>27</v>
      </c>
      <c r="D20" s="5"/>
      <c r="E20" s="5"/>
      <c r="F20" s="5"/>
      <c r="G20" s="5"/>
    </row>
    <row r="21" customFormat="false" ht="18" hidden="false" customHeight="true" outlineLevel="0" collapsed="false">
      <c r="B21" s="8" t="s">
        <v>28</v>
      </c>
      <c r="C21" s="5" t="s">
        <v>29</v>
      </c>
      <c r="D21" s="5"/>
      <c r="E21" s="5"/>
      <c r="F21" s="5"/>
      <c r="G21" s="5"/>
    </row>
    <row r="22" customFormat="false" ht="18" hidden="false" customHeight="true" outlineLevel="0" collapsed="false">
      <c r="B22" s="8" t="s">
        <v>30</v>
      </c>
      <c r="C22" s="5" t="s">
        <v>31</v>
      </c>
      <c r="D22" s="5"/>
      <c r="E22" s="5"/>
      <c r="F22" s="5"/>
      <c r="G22" s="5"/>
    </row>
  </sheetData>
  <mergeCells count="23">
    <mergeCell ref="B2:G3"/>
    <mergeCell ref="B5:G5"/>
    <mergeCell ref="B7:G7"/>
    <mergeCell ref="B8:C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G14"/>
    <mergeCell ref="C15:G15"/>
    <mergeCell ref="C16:G16"/>
    <mergeCell ref="C17:G17"/>
    <mergeCell ref="C18:G18"/>
    <mergeCell ref="C19:G19"/>
    <mergeCell ref="C20:G20"/>
    <mergeCell ref="C21:G21"/>
    <mergeCell ref="C22:G22"/>
  </mergeCells>
  <printOptions headings="false" gridLines="false" gridLinesSet="true" horizontalCentered="false" verticalCentered="false"/>
  <pageMargins left="0.5" right="0.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&amp;R&amp;"Calibri,标准"第 &amp;P 页 / 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K8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3" activePane="bottomLeft" state="frozen"/>
      <selection pane="topLeft" activeCell="A1" activeCellId="0" sqref="A1"/>
      <selection pane="bottomLeft" activeCell="K60" activeCellId="0" sqref="K60"/>
    </sheetView>
  </sheetViews>
  <sheetFormatPr defaultColWidth="7.89453125" defaultRowHeight="18" customHeight="false" zeroHeight="false" outlineLevelRow="0" outlineLevelCol="0"/>
  <cols>
    <col collapsed="false" customWidth="true" hidden="false" outlineLevel="0" max="1" min="1" style="0" width="14.56"/>
    <col collapsed="false" customWidth="true" hidden="false" outlineLevel="0" max="2" min="2" style="0" width="16.39"/>
    <col collapsed="false" customWidth="true" hidden="false" outlineLevel="0" max="4" min="3" style="0" width="20.01"/>
    <col collapsed="false" customWidth="true" hidden="false" outlineLevel="0" max="5" min="5" style="0" width="25.47"/>
    <col collapsed="false" customWidth="true" hidden="false" outlineLevel="0" max="6" min="6" style="0" width="9.1"/>
    <col collapsed="false" customWidth="true" hidden="false" outlineLevel="0" max="7" min="7" style="0" width="14.56"/>
    <col collapsed="false" customWidth="true" hidden="false" outlineLevel="0" max="8" min="8" style="0" width="12.74"/>
    <col collapsed="false" customWidth="true" hidden="false" outlineLevel="0" max="10" min="9" style="0" width="14.56"/>
    <col collapsed="false" customWidth="true" hidden="false" outlineLevel="0" max="11" min="11" style="0" width="21.85"/>
  </cols>
  <sheetData>
    <row r="1" customFormat="false" ht="16.5" hidden="false" customHeight="true" outlineLevel="0" collapsed="false">
      <c r="A1" s="9" t="s">
        <v>32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2" hidden="false" customHeight="true" outlineLevel="0" collapsed="false">
      <c r="A2" s="2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7.75" hidden="false" customHeight="true" outlineLevel="0" collapsed="false">
      <c r="A3" s="4" t="s">
        <v>34</v>
      </c>
      <c r="B3" s="4" t="s">
        <v>35</v>
      </c>
      <c r="C3" s="4" t="s">
        <v>36</v>
      </c>
      <c r="D3" s="4" t="s">
        <v>37</v>
      </c>
      <c r="E3" s="4" t="s">
        <v>38</v>
      </c>
      <c r="F3" s="4" t="s">
        <v>39</v>
      </c>
      <c r="G3" s="4" t="s">
        <v>40</v>
      </c>
      <c r="H3" s="4" t="s">
        <v>41</v>
      </c>
      <c r="I3" s="4" t="s">
        <v>42</v>
      </c>
      <c r="J3" s="4" t="s">
        <v>43</v>
      </c>
      <c r="K3" s="4" t="s">
        <v>44</v>
      </c>
    </row>
    <row r="4" customFormat="false" ht="18" hidden="false" customHeight="false" outlineLevel="0" collapsed="false">
      <c r="A4" s="10" t="n">
        <v>1</v>
      </c>
      <c r="B4" s="5" t="s">
        <v>45</v>
      </c>
      <c r="C4" s="10" t="s">
        <v>46</v>
      </c>
      <c r="D4" s="5" t="s">
        <v>47</v>
      </c>
      <c r="E4" s="5" t="s">
        <v>48</v>
      </c>
      <c r="F4" s="10" t="s">
        <v>49</v>
      </c>
      <c r="G4" s="11" t="s">
        <v>50</v>
      </c>
      <c r="H4" s="11" t="n">
        <f aca="false">综合单价!P4</f>
        <v>13000</v>
      </c>
      <c r="I4" s="12" t="n">
        <f aca="false">G4*H4</f>
        <v>13000</v>
      </c>
      <c r="J4" s="10" t="s">
        <v>51</v>
      </c>
      <c r="K4" s="5" t="s">
        <v>52</v>
      </c>
    </row>
    <row r="5" customFormat="false" ht="18" hidden="false" customHeight="false" outlineLevel="0" collapsed="false">
      <c r="A5" s="10" t="n">
        <v>2</v>
      </c>
      <c r="B5" s="5" t="s">
        <v>45</v>
      </c>
      <c r="C5" s="10" t="s">
        <v>53</v>
      </c>
      <c r="D5" s="5" t="s">
        <v>54</v>
      </c>
      <c r="E5" s="5" t="s">
        <v>55</v>
      </c>
      <c r="F5" s="10" t="s">
        <v>56</v>
      </c>
      <c r="G5" s="11" t="n">
        <f aca="false">工程量计算!C17</f>
        <v>350</v>
      </c>
      <c r="H5" s="11" t="n">
        <f aca="false">综合单价!P7</f>
        <v>234.1987</v>
      </c>
      <c r="I5" s="12" t="n">
        <f aca="false">G5*H5</f>
        <v>81969.545</v>
      </c>
      <c r="J5" s="10" t="s">
        <v>57</v>
      </c>
      <c r="K5" s="5" t="s">
        <v>58</v>
      </c>
    </row>
    <row r="6" customFormat="false" ht="28.5" hidden="false" customHeight="true" outlineLevel="0" collapsed="false">
      <c r="A6" s="10" t="n">
        <v>3</v>
      </c>
      <c r="B6" s="5" t="s">
        <v>45</v>
      </c>
      <c r="C6" s="10" t="s">
        <v>59</v>
      </c>
      <c r="D6" s="5" t="s">
        <v>60</v>
      </c>
      <c r="E6" s="5" t="s">
        <v>61</v>
      </c>
      <c r="F6" s="10" t="s">
        <v>62</v>
      </c>
      <c r="G6" s="11" t="s">
        <v>50</v>
      </c>
      <c r="H6" s="11" t="n">
        <f aca="false">综合单价!P14</f>
        <v>26207.957</v>
      </c>
      <c r="I6" s="12" t="n">
        <f aca="false">G6*H6</f>
        <v>26207.957</v>
      </c>
      <c r="J6" s="10" t="s">
        <v>63</v>
      </c>
      <c r="K6" s="5" t="s">
        <v>64</v>
      </c>
    </row>
    <row r="7" customFormat="false" ht="18" hidden="false" customHeight="false" outlineLevel="0" collapsed="false">
      <c r="A7" s="10" t="n">
        <v>4</v>
      </c>
      <c r="B7" s="5" t="s">
        <v>45</v>
      </c>
      <c r="C7" s="10" t="s">
        <v>65</v>
      </c>
      <c r="D7" s="5" t="s">
        <v>66</v>
      </c>
      <c r="E7" s="5" t="s">
        <v>67</v>
      </c>
      <c r="F7" s="10" t="s">
        <v>56</v>
      </c>
      <c r="G7" s="11" t="n">
        <f aca="false">工程量计算!C18</f>
        <v>850</v>
      </c>
      <c r="H7" s="11" t="n">
        <f aca="false">综合单价!P21</f>
        <v>70.65325</v>
      </c>
      <c r="I7" s="12" t="n">
        <f aca="false">G7*H7</f>
        <v>60055.2625</v>
      </c>
      <c r="J7" s="10" t="s">
        <v>68</v>
      </c>
      <c r="K7" s="5" t="s">
        <v>69</v>
      </c>
    </row>
    <row r="8" customFormat="false" ht="18" hidden="false" customHeight="false" outlineLevel="0" collapsed="false">
      <c r="A8" s="10" t="n">
        <v>5</v>
      </c>
      <c r="B8" s="5" t="s">
        <v>45</v>
      </c>
      <c r="C8" s="10" t="s">
        <v>70</v>
      </c>
      <c r="D8" s="5" t="s">
        <v>71</v>
      </c>
      <c r="E8" s="5" t="s">
        <v>72</v>
      </c>
      <c r="F8" s="10" t="s">
        <v>49</v>
      </c>
      <c r="G8" s="11" t="s">
        <v>50</v>
      </c>
      <c r="H8" s="11" t="n">
        <f aca="false">综合单价!P27</f>
        <v>11412.9</v>
      </c>
      <c r="I8" s="12" t="n">
        <f aca="false">G8*H8</f>
        <v>11412.9</v>
      </c>
      <c r="J8" s="10" t="s">
        <v>73</v>
      </c>
      <c r="K8" s="5" t="s">
        <v>74</v>
      </c>
    </row>
    <row r="9" customFormat="false" ht="18" hidden="false" customHeight="false" outlineLevel="0" collapsed="false">
      <c r="A9" s="10" t="n">
        <v>6</v>
      </c>
      <c r="B9" s="5" t="s">
        <v>45</v>
      </c>
      <c r="C9" s="10" t="s">
        <v>75</v>
      </c>
      <c r="D9" s="5" t="s">
        <v>76</v>
      </c>
      <c r="E9" s="5" t="s">
        <v>77</v>
      </c>
      <c r="F9" s="10" t="s">
        <v>78</v>
      </c>
      <c r="G9" s="11" t="n">
        <f aca="false">工程量计算!C19</f>
        <v>600</v>
      </c>
      <c r="H9" s="11" t="n">
        <f aca="false">综合单价!P35</f>
        <v>84.00995</v>
      </c>
      <c r="I9" s="12" t="n">
        <f aca="false">G9*H9</f>
        <v>50405.97</v>
      </c>
      <c r="J9" s="10" t="s">
        <v>79</v>
      </c>
      <c r="K9" s="5" t="s">
        <v>80</v>
      </c>
    </row>
    <row r="10" customFormat="false" ht="18" hidden="false" customHeight="false" outlineLevel="0" collapsed="false">
      <c r="A10" s="10" t="n">
        <v>7</v>
      </c>
      <c r="B10" s="5" t="s">
        <v>45</v>
      </c>
      <c r="C10" s="10" t="s">
        <v>81</v>
      </c>
      <c r="D10" s="5" t="s">
        <v>82</v>
      </c>
      <c r="E10" s="5" t="s">
        <v>83</v>
      </c>
      <c r="F10" s="10" t="s">
        <v>56</v>
      </c>
      <c r="G10" s="11" t="n">
        <f aca="false">工程量计算!C24</f>
        <v>420</v>
      </c>
      <c r="H10" s="11" t="n">
        <f aca="false">综合单价!P42</f>
        <v>107.0959</v>
      </c>
      <c r="I10" s="12" t="n">
        <f aca="false">G10*H10</f>
        <v>44980.278</v>
      </c>
      <c r="J10" s="10" t="s">
        <v>84</v>
      </c>
      <c r="K10" s="5" t="s">
        <v>85</v>
      </c>
    </row>
    <row r="11" customFormat="false" ht="18" hidden="false" customHeight="false" outlineLevel="0" collapsed="false">
      <c r="A11" s="10" t="n">
        <v>8</v>
      </c>
      <c r="B11" s="5" t="s">
        <v>45</v>
      </c>
      <c r="C11" s="10" t="s">
        <v>86</v>
      </c>
      <c r="D11" s="5" t="s">
        <v>87</v>
      </c>
      <c r="E11" s="5" t="s">
        <v>88</v>
      </c>
      <c r="F11" s="10" t="s">
        <v>78</v>
      </c>
      <c r="G11" s="11" t="n">
        <f aca="false">工程量计算!C25</f>
        <v>3000</v>
      </c>
      <c r="H11" s="11" t="n">
        <f aca="false">综合单价!P47</f>
        <v>3.525</v>
      </c>
      <c r="I11" s="12" t="n">
        <f aca="false">G11*H11</f>
        <v>10575</v>
      </c>
      <c r="J11" s="10" t="s">
        <v>89</v>
      </c>
      <c r="K11" s="5" t="s">
        <v>90</v>
      </c>
    </row>
    <row r="12" customFormat="false" ht="18" hidden="false" customHeight="false" outlineLevel="0" collapsed="false">
      <c r="A12" s="10" t="n">
        <v>9</v>
      </c>
      <c r="B12" s="5" t="s">
        <v>45</v>
      </c>
      <c r="C12" s="10" t="s">
        <v>91</v>
      </c>
      <c r="D12" s="5" t="s">
        <v>92</v>
      </c>
      <c r="E12" s="5" t="s">
        <v>93</v>
      </c>
      <c r="F12" s="10" t="s">
        <v>78</v>
      </c>
      <c r="G12" s="11" t="n">
        <f aca="false">工程量计算!C26</f>
        <v>200</v>
      </c>
      <c r="H12" s="11" t="n">
        <f aca="false">综合单价!P50</f>
        <v>480.5918</v>
      </c>
      <c r="I12" s="12" t="n">
        <f aca="false">G12*H12</f>
        <v>96118.36</v>
      </c>
      <c r="J12" s="10" t="s">
        <v>94</v>
      </c>
      <c r="K12" s="5" t="s">
        <v>95</v>
      </c>
    </row>
    <row r="13" customFormat="false" ht="28.5" hidden="false" customHeight="true" outlineLevel="0" collapsed="false">
      <c r="A13" s="10" t="n">
        <v>10</v>
      </c>
      <c r="B13" s="5" t="s">
        <v>45</v>
      </c>
      <c r="C13" s="10" t="s">
        <v>96</v>
      </c>
      <c r="D13" s="5" t="s">
        <v>97</v>
      </c>
      <c r="E13" s="5" t="s">
        <v>98</v>
      </c>
      <c r="F13" s="10" t="s">
        <v>78</v>
      </c>
      <c r="G13" s="11" t="n">
        <f aca="false">工程量计算!C27</f>
        <v>200</v>
      </c>
      <c r="H13" s="11" t="n">
        <f aca="false">综合单价!P56</f>
        <v>106.4377</v>
      </c>
      <c r="I13" s="12" t="n">
        <f aca="false">G13*H13</f>
        <v>21287.54</v>
      </c>
      <c r="J13" s="10" t="s">
        <v>99</v>
      </c>
      <c r="K13" s="5" t="s">
        <v>100</v>
      </c>
    </row>
    <row r="14" customFormat="false" ht="18" hidden="false" customHeight="false" outlineLevel="0" collapsed="false">
      <c r="A14" s="10" t="n">
        <v>11</v>
      </c>
      <c r="B14" s="5" t="s">
        <v>45</v>
      </c>
      <c r="C14" s="10" t="s">
        <v>101</v>
      </c>
      <c r="D14" s="5" t="s">
        <v>102</v>
      </c>
      <c r="E14" s="5" t="s">
        <v>103</v>
      </c>
      <c r="F14" s="10" t="s">
        <v>49</v>
      </c>
      <c r="G14" s="11" t="s">
        <v>50</v>
      </c>
      <c r="H14" s="11" t="n">
        <f aca="false">综合单价!P139</f>
        <v>12639.1</v>
      </c>
      <c r="I14" s="12" t="n">
        <f aca="false">G14*H14</f>
        <v>12639.1</v>
      </c>
      <c r="J14" s="10" t="s">
        <v>104</v>
      </c>
      <c r="K14" s="5" t="s">
        <v>105</v>
      </c>
    </row>
    <row r="15" customFormat="false" ht="18" hidden="false" customHeight="false" outlineLevel="0" collapsed="false">
      <c r="A15" s="10" t="n">
        <v>12</v>
      </c>
      <c r="B15" s="5" t="s">
        <v>106</v>
      </c>
      <c r="C15" s="10" t="s">
        <v>107</v>
      </c>
      <c r="D15" s="5" t="s">
        <v>108</v>
      </c>
      <c r="E15" s="5" t="s">
        <v>109</v>
      </c>
      <c r="F15" s="10" t="s">
        <v>78</v>
      </c>
      <c r="G15" s="11" t="n">
        <f aca="false">工程量计算!C40</f>
        <v>3780</v>
      </c>
      <c r="H15" s="11" t="n">
        <f aca="false">综合单价!P63</f>
        <v>85.1803</v>
      </c>
      <c r="I15" s="12" t="n">
        <f aca="false">G15*H15</f>
        <v>321981.534</v>
      </c>
      <c r="J15" s="10" t="s">
        <v>110</v>
      </c>
      <c r="K15" s="5" t="s">
        <v>111</v>
      </c>
    </row>
    <row r="16" customFormat="false" ht="18" hidden="false" customHeight="false" outlineLevel="0" collapsed="false">
      <c r="A16" s="10" t="n">
        <v>13</v>
      </c>
      <c r="B16" s="5" t="s">
        <v>106</v>
      </c>
      <c r="C16" s="10" t="s">
        <v>112</v>
      </c>
      <c r="D16" s="5" t="s">
        <v>113</v>
      </c>
      <c r="E16" s="5" t="s">
        <v>114</v>
      </c>
      <c r="F16" s="10" t="s">
        <v>115</v>
      </c>
      <c r="G16" s="11" t="n">
        <f aca="false">工程量计算!C22</f>
        <v>24</v>
      </c>
      <c r="H16" s="11" t="n">
        <f aca="false">综合单价!P70</f>
        <v>6579</v>
      </c>
      <c r="I16" s="12" t="n">
        <f aca="false">G16*H16</f>
        <v>157896</v>
      </c>
      <c r="J16" s="10" t="s">
        <v>116</v>
      </c>
      <c r="K16" s="5" t="s">
        <v>117</v>
      </c>
    </row>
    <row r="17" customFormat="false" ht="18" hidden="false" customHeight="false" outlineLevel="0" collapsed="false">
      <c r="A17" s="10" t="n">
        <v>14</v>
      </c>
      <c r="B17" s="5" t="s">
        <v>118</v>
      </c>
      <c r="C17" s="10" t="s">
        <v>119</v>
      </c>
      <c r="D17" s="5" t="s">
        <v>120</v>
      </c>
      <c r="E17" s="5" t="s">
        <v>121</v>
      </c>
      <c r="F17" s="10" t="s">
        <v>122</v>
      </c>
      <c r="G17" s="11" t="n">
        <f aca="false">工程量计算!C4</f>
        <v>43229.84</v>
      </c>
      <c r="H17" s="11" t="n">
        <f aca="false">综合单价!P78</f>
        <v>13.34043</v>
      </c>
      <c r="I17" s="12" t="n">
        <f aca="false">G17*H17</f>
        <v>576704.6544312</v>
      </c>
      <c r="J17" s="10" t="s">
        <v>123</v>
      </c>
      <c r="K17" s="5" t="s">
        <v>124</v>
      </c>
    </row>
    <row r="18" customFormat="false" ht="18" hidden="false" customHeight="false" outlineLevel="0" collapsed="false">
      <c r="A18" s="10" t="n">
        <v>15</v>
      </c>
      <c r="B18" s="5" t="s">
        <v>118</v>
      </c>
      <c r="C18" s="10" t="s">
        <v>125</v>
      </c>
      <c r="D18" s="5" t="s">
        <v>126</v>
      </c>
      <c r="E18" s="5" t="s">
        <v>127</v>
      </c>
      <c r="F18" s="10" t="s">
        <v>122</v>
      </c>
      <c r="G18" s="11" t="n">
        <f aca="false">工程量计算!C5</f>
        <v>39</v>
      </c>
      <c r="H18" s="11" t="n">
        <f aca="false">综合单价!P82</f>
        <v>73.675</v>
      </c>
      <c r="I18" s="12" t="n">
        <f aca="false">G18*H18</f>
        <v>2873.325</v>
      </c>
      <c r="J18" s="10" t="s">
        <v>128</v>
      </c>
      <c r="K18" s="5" t="s">
        <v>129</v>
      </c>
    </row>
    <row r="19" customFormat="false" ht="18" hidden="false" customHeight="false" outlineLevel="0" collapsed="false">
      <c r="A19" s="10" t="n">
        <v>16</v>
      </c>
      <c r="B19" s="5" t="s">
        <v>118</v>
      </c>
      <c r="C19" s="10" t="s">
        <v>130</v>
      </c>
      <c r="D19" s="5" t="s">
        <v>131</v>
      </c>
      <c r="E19" s="5" t="s">
        <v>132</v>
      </c>
      <c r="F19" s="10" t="s">
        <v>122</v>
      </c>
      <c r="G19" s="11" t="n">
        <f aca="false">工程量计算!C5</f>
        <v>39</v>
      </c>
      <c r="H19" s="11" t="n">
        <f aca="false">综合单价!P86</f>
        <v>21.1108974358974</v>
      </c>
      <c r="I19" s="12" t="n">
        <f aca="false">G19*H19</f>
        <v>823.325</v>
      </c>
      <c r="J19" s="10" t="s">
        <v>133</v>
      </c>
      <c r="K19" s="5" t="s">
        <v>129</v>
      </c>
    </row>
    <row r="20" customFormat="false" ht="18" hidden="false" customHeight="false" outlineLevel="0" collapsed="false">
      <c r="A20" s="10" t="n">
        <v>17</v>
      </c>
      <c r="B20" s="5" t="s">
        <v>118</v>
      </c>
      <c r="C20" s="10" t="s">
        <v>134</v>
      </c>
      <c r="D20" s="5" t="s">
        <v>135</v>
      </c>
      <c r="E20" s="5" t="s">
        <v>136</v>
      </c>
      <c r="F20" s="10" t="s">
        <v>122</v>
      </c>
      <c r="G20" s="11" t="n">
        <f aca="false">工程量计算!C6</f>
        <v>240</v>
      </c>
      <c r="H20" s="11" t="n">
        <f aca="false">综合单价!P91</f>
        <v>9.19355</v>
      </c>
      <c r="I20" s="12" t="n">
        <f aca="false">G20*H20</f>
        <v>2206.452</v>
      </c>
      <c r="J20" s="10" t="s">
        <v>137</v>
      </c>
      <c r="K20" s="5" t="s">
        <v>138</v>
      </c>
    </row>
    <row r="21" customFormat="false" ht="18" hidden="false" customHeight="false" outlineLevel="0" collapsed="false">
      <c r="A21" s="10" t="n">
        <v>18</v>
      </c>
      <c r="B21" s="5" t="s">
        <v>118</v>
      </c>
      <c r="C21" s="10" t="s">
        <v>139</v>
      </c>
      <c r="D21" s="5" t="s">
        <v>140</v>
      </c>
      <c r="E21" s="5" t="s">
        <v>141</v>
      </c>
      <c r="F21" s="10" t="s">
        <v>122</v>
      </c>
      <c r="G21" s="11" t="n">
        <f aca="false">工程量计算!C7</f>
        <v>31685.41</v>
      </c>
      <c r="H21" s="11" t="n">
        <f aca="false">综合单价!P95</f>
        <v>20.40164</v>
      </c>
      <c r="I21" s="12" t="n">
        <f aca="false">G21*H21</f>
        <v>646434.3280724</v>
      </c>
      <c r="J21" s="10" t="s">
        <v>142</v>
      </c>
      <c r="K21" s="5" t="s">
        <v>143</v>
      </c>
    </row>
    <row r="22" customFormat="false" ht="18" hidden="false" customHeight="false" outlineLevel="0" collapsed="false">
      <c r="A22" s="10" t="n">
        <v>19</v>
      </c>
      <c r="B22" s="5" t="s">
        <v>144</v>
      </c>
      <c r="C22" s="10" t="s">
        <v>145</v>
      </c>
      <c r="D22" s="5" t="s">
        <v>146</v>
      </c>
      <c r="E22" s="5" t="s">
        <v>147</v>
      </c>
      <c r="F22" s="10" t="s">
        <v>148</v>
      </c>
      <c r="G22" s="11" t="n">
        <f aca="false">工程量计算!C35</f>
        <v>115953.116</v>
      </c>
      <c r="H22" s="11" t="n">
        <f aca="false">综合单价!P100</f>
        <v>134.81472</v>
      </c>
      <c r="I22" s="12" t="n">
        <f aca="false">G22*H22</f>
        <v>15632186.8666675</v>
      </c>
      <c r="J22" s="10" t="s">
        <v>149</v>
      </c>
      <c r="K22" s="5" t="s">
        <v>150</v>
      </c>
    </row>
    <row r="23" customFormat="false" ht="18" hidden="false" customHeight="false" outlineLevel="0" collapsed="false">
      <c r="A23" s="10" t="n">
        <v>20</v>
      </c>
      <c r="B23" s="5" t="s">
        <v>144</v>
      </c>
      <c r="C23" s="10" t="s">
        <v>151</v>
      </c>
      <c r="D23" s="5" t="s">
        <v>152</v>
      </c>
      <c r="E23" s="5" t="s">
        <v>153</v>
      </c>
      <c r="F23" s="10" t="s">
        <v>148</v>
      </c>
      <c r="G23" s="11" t="n">
        <f aca="false">工程量计算!C35</f>
        <v>115953.116</v>
      </c>
      <c r="H23" s="11" t="n">
        <f aca="false">综合单价!P104</f>
        <v>190</v>
      </c>
      <c r="I23" s="12" t="n">
        <f aca="false">G23*H23</f>
        <v>22031092.04</v>
      </c>
      <c r="J23" s="10" t="s">
        <v>154</v>
      </c>
      <c r="K23" s="5" t="s">
        <v>150</v>
      </c>
    </row>
    <row r="24" customFormat="false" ht="18" hidden="false" customHeight="false" outlineLevel="0" collapsed="false">
      <c r="A24" s="10" t="n">
        <v>21</v>
      </c>
      <c r="B24" s="5" t="s">
        <v>155</v>
      </c>
      <c r="C24" s="10" t="s">
        <v>156</v>
      </c>
      <c r="D24" s="5" t="s">
        <v>157</v>
      </c>
      <c r="E24" s="5" t="s">
        <v>158</v>
      </c>
      <c r="F24" s="10" t="s">
        <v>122</v>
      </c>
      <c r="G24" s="11" t="n">
        <f aca="false">工程量计算!C37</f>
        <v>34853.951</v>
      </c>
      <c r="H24" s="11" t="n">
        <f aca="false">综合单价!P106</f>
        <v>45</v>
      </c>
      <c r="I24" s="12" t="n">
        <f aca="false">G24*H24</f>
        <v>1568427.795</v>
      </c>
      <c r="J24" s="10" t="s">
        <v>159</v>
      </c>
      <c r="K24" s="5" t="s">
        <v>160</v>
      </c>
    </row>
    <row r="25" customFormat="false" ht="18" hidden="false" customHeight="false" outlineLevel="0" collapsed="false">
      <c r="A25" s="10" t="n">
        <v>22</v>
      </c>
      <c r="B25" s="5" t="s">
        <v>155</v>
      </c>
      <c r="C25" s="10" t="s">
        <v>161</v>
      </c>
      <c r="D25" s="5" t="s">
        <v>162</v>
      </c>
      <c r="E25" s="5" t="s">
        <v>163</v>
      </c>
      <c r="F25" s="10" t="s">
        <v>122</v>
      </c>
      <c r="G25" s="11" t="n">
        <f aca="false">工程量计算!C37</f>
        <v>34853.951</v>
      </c>
      <c r="H25" s="11" t="n">
        <f aca="false">综合单价!P108</f>
        <v>9.59355</v>
      </c>
      <c r="I25" s="12" t="n">
        <f aca="false">G25*H25</f>
        <v>334373.12161605</v>
      </c>
      <c r="J25" s="10" t="s">
        <v>164</v>
      </c>
      <c r="K25" s="5" t="s">
        <v>160</v>
      </c>
    </row>
    <row r="26" customFormat="false" ht="18" hidden="false" customHeight="false" outlineLevel="0" collapsed="false">
      <c r="A26" s="10" t="n">
        <v>23</v>
      </c>
      <c r="B26" s="5" t="s">
        <v>165</v>
      </c>
      <c r="C26" s="10" t="s">
        <v>166</v>
      </c>
      <c r="D26" s="5" t="s">
        <v>167</v>
      </c>
      <c r="E26" s="5" t="s">
        <v>168</v>
      </c>
      <c r="F26" s="10" t="s">
        <v>122</v>
      </c>
      <c r="G26" s="11" t="n">
        <f aca="false">工程量计算!C36</f>
        <v>28204.27</v>
      </c>
      <c r="H26" s="11" t="n">
        <f aca="false">综合单价!P113</f>
        <v>3.470835</v>
      </c>
      <c r="I26" s="12" t="n">
        <f aca="false">G26*H26</f>
        <v>97892.36746545</v>
      </c>
      <c r="J26" s="10" t="s">
        <v>169</v>
      </c>
      <c r="K26" s="5" t="s">
        <v>170</v>
      </c>
    </row>
    <row r="27" customFormat="false" ht="18" hidden="false" customHeight="false" outlineLevel="0" collapsed="false">
      <c r="A27" s="10" t="n">
        <v>24</v>
      </c>
      <c r="B27" s="5" t="s">
        <v>165</v>
      </c>
      <c r="C27" s="10" t="s">
        <v>171</v>
      </c>
      <c r="D27" s="5" t="s">
        <v>172</v>
      </c>
      <c r="E27" s="5" t="s">
        <v>173</v>
      </c>
      <c r="F27" s="10" t="s">
        <v>122</v>
      </c>
      <c r="G27" s="11" t="n">
        <f aca="false">工程量计算!C36</f>
        <v>28204.27</v>
      </c>
      <c r="H27" s="11" t="n">
        <f aca="false">综合单价!P118</f>
        <v>56.8325</v>
      </c>
      <c r="I27" s="12" t="n">
        <f aca="false">G27*H27</f>
        <v>1602919.174775</v>
      </c>
      <c r="J27" s="10" t="s">
        <v>174</v>
      </c>
      <c r="K27" s="5" t="s">
        <v>170</v>
      </c>
    </row>
    <row r="28" customFormat="false" ht="28.5" hidden="false" customHeight="true" outlineLevel="0" collapsed="false">
      <c r="A28" s="10" t="n">
        <v>25</v>
      </c>
      <c r="B28" s="5" t="s">
        <v>165</v>
      </c>
      <c r="C28" s="10" t="s">
        <v>175</v>
      </c>
      <c r="D28" s="5" t="s">
        <v>176</v>
      </c>
      <c r="E28" s="5" t="s">
        <v>177</v>
      </c>
      <c r="F28" s="10" t="s">
        <v>122</v>
      </c>
      <c r="G28" s="11" t="n">
        <f aca="false">工程量计算!C36</f>
        <v>28204.27</v>
      </c>
      <c r="H28" s="11" t="n">
        <f aca="false">综合单价!P121</f>
        <v>75</v>
      </c>
      <c r="I28" s="12" t="n">
        <f aca="false">G28*H28</f>
        <v>2115320.25</v>
      </c>
      <c r="J28" s="10" t="s">
        <v>178</v>
      </c>
      <c r="K28" s="5" t="s">
        <v>170</v>
      </c>
    </row>
    <row r="29" customFormat="false" ht="28.5" hidden="false" customHeight="true" outlineLevel="0" collapsed="false">
      <c r="A29" s="10" t="n">
        <v>26</v>
      </c>
      <c r="B29" s="5" t="s">
        <v>179</v>
      </c>
      <c r="C29" s="10" t="s">
        <v>180</v>
      </c>
      <c r="D29" s="5" t="s">
        <v>181</v>
      </c>
      <c r="E29" s="5" t="s">
        <v>182</v>
      </c>
      <c r="F29" s="10" t="s">
        <v>49</v>
      </c>
      <c r="G29" s="11" t="s">
        <v>50</v>
      </c>
      <c r="H29" s="11" t="n">
        <f aca="false">综合单价!P123</f>
        <v>54416.25</v>
      </c>
      <c r="I29" s="12" t="n">
        <f aca="false">G29*H29</f>
        <v>54416.25</v>
      </c>
      <c r="J29" s="10" t="s">
        <v>183</v>
      </c>
      <c r="K29" s="5" t="s">
        <v>105</v>
      </c>
    </row>
    <row r="30" customFormat="false" ht="18" hidden="false" customHeight="false" outlineLevel="0" collapsed="false">
      <c r="A30" s="10" t="n">
        <v>27</v>
      </c>
      <c r="B30" s="5" t="s">
        <v>184</v>
      </c>
      <c r="C30" s="10" t="s">
        <v>185</v>
      </c>
      <c r="D30" s="5" t="s">
        <v>186</v>
      </c>
      <c r="E30" s="5" t="s">
        <v>187</v>
      </c>
      <c r="F30" s="10" t="s">
        <v>188</v>
      </c>
      <c r="G30" s="11" t="n">
        <f aca="false">工程量计算!C56</f>
        <v>48</v>
      </c>
      <c r="H30" s="11" t="n">
        <f aca="false">综合单价!P127</f>
        <v>750</v>
      </c>
      <c r="I30" s="12" t="n">
        <f aca="false">G30*H30</f>
        <v>36000</v>
      </c>
      <c r="J30" s="10" t="s">
        <v>189</v>
      </c>
      <c r="K30" s="5" t="s">
        <v>190</v>
      </c>
    </row>
    <row r="31" customFormat="false" ht="18" hidden="false" customHeight="false" outlineLevel="0" collapsed="false">
      <c r="A31" s="10" t="n">
        <v>28</v>
      </c>
      <c r="B31" s="5" t="s">
        <v>184</v>
      </c>
      <c r="C31" s="10" t="s">
        <v>191</v>
      </c>
      <c r="D31" s="5" t="s">
        <v>192</v>
      </c>
      <c r="E31" s="5" t="s">
        <v>187</v>
      </c>
      <c r="F31" s="10" t="s">
        <v>188</v>
      </c>
      <c r="G31" s="11" t="n">
        <f aca="false">工程量计算!C57</f>
        <v>24</v>
      </c>
      <c r="H31" s="11" t="n">
        <f aca="false">综合单价!P129</f>
        <v>200</v>
      </c>
      <c r="I31" s="12" t="n">
        <f aca="false">G31*H31</f>
        <v>4800</v>
      </c>
      <c r="J31" s="10" t="s">
        <v>193</v>
      </c>
      <c r="K31" s="5" t="s">
        <v>194</v>
      </c>
    </row>
    <row r="32" customFormat="false" ht="18" hidden="false" customHeight="false" outlineLevel="0" collapsed="false">
      <c r="A32" s="10" t="n">
        <v>29</v>
      </c>
      <c r="B32" s="5" t="s">
        <v>184</v>
      </c>
      <c r="C32" s="10" t="s">
        <v>195</v>
      </c>
      <c r="D32" s="5" t="s">
        <v>196</v>
      </c>
      <c r="E32" s="5" t="s">
        <v>187</v>
      </c>
      <c r="F32" s="10" t="s">
        <v>197</v>
      </c>
      <c r="G32" s="11" t="n">
        <f aca="false">工程量计算!C58</f>
        <v>24</v>
      </c>
      <c r="H32" s="11" t="n">
        <f aca="false">综合单价!P131</f>
        <v>300</v>
      </c>
      <c r="I32" s="12" t="n">
        <f aca="false">G32*H32</f>
        <v>7200</v>
      </c>
      <c r="J32" s="10" t="s">
        <v>198</v>
      </c>
      <c r="K32" s="5" t="s">
        <v>199</v>
      </c>
    </row>
    <row r="33" customFormat="false" ht="18" hidden="false" customHeight="false" outlineLevel="0" collapsed="false">
      <c r="A33" s="10" t="n">
        <v>30</v>
      </c>
      <c r="B33" s="5" t="s">
        <v>184</v>
      </c>
      <c r="C33" s="10" t="s">
        <v>200</v>
      </c>
      <c r="D33" s="5" t="s">
        <v>201</v>
      </c>
      <c r="E33" s="5" t="s">
        <v>187</v>
      </c>
      <c r="F33" s="10" t="s">
        <v>197</v>
      </c>
      <c r="G33" s="11" t="n">
        <f aca="false">工程量计算!C59</f>
        <v>36</v>
      </c>
      <c r="H33" s="11" t="n">
        <f aca="false">综合单价!P133</f>
        <v>1200</v>
      </c>
      <c r="I33" s="12" t="n">
        <f aca="false">G33*H33</f>
        <v>43200</v>
      </c>
      <c r="J33" s="10" t="s">
        <v>202</v>
      </c>
      <c r="K33" s="5" t="s">
        <v>203</v>
      </c>
    </row>
    <row r="34" customFormat="false" ht="18" hidden="false" customHeight="false" outlineLevel="0" collapsed="false">
      <c r="A34" s="10" t="n">
        <v>31</v>
      </c>
      <c r="B34" s="5" t="s">
        <v>184</v>
      </c>
      <c r="C34" s="10" t="s">
        <v>204</v>
      </c>
      <c r="D34" s="5" t="s">
        <v>205</v>
      </c>
      <c r="E34" s="5" t="s">
        <v>187</v>
      </c>
      <c r="F34" s="10" t="s">
        <v>197</v>
      </c>
      <c r="G34" s="11" t="n">
        <f aca="false">工程量计算!C60</f>
        <v>80</v>
      </c>
      <c r="H34" s="11" t="n">
        <f aca="false">综合单价!P135</f>
        <v>150</v>
      </c>
      <c r="I34" s="12" t="n">
        <f aca="false">G34*H34</f>
        <v>12000</v>
      </c>
      <c r="J34" s="10" t="s">
        <v>206</v>
      </c>
      <c r="K34" s="5" t="s">
        <v>207</v>
      </c>
    </row>
    <row r="35" customFormat="false" ht="18" hidden="false" customHeight="false" outlineLevel="0" collapsed="false">
      <c r="A35" s="10" t="n">
        <v>32</v>
      </c>
      <c r="B35" s="5" t="s">
        <v>184</v>
      </c>
      <c r="C35" s="10" t="s">
        <v>208</v>
      </c>
      <c r="D35" s="5" t="s">
        <v>209</v>
      </c>
      <c r="E35" s="5" t="s">
        <v>187</v>
      </c>
      <c r="F35" s="10" t="s">
        <v>197</v>
      </c>
      <c r="G35" s="11" t="n">
        <f aca="false">工程量计算!C61</f>
        <v>8</v>
      </c>
      <c r="H35" s="11" t="n">
        <f aca="false">综合单价!P137</f>
        <v>3500</v>
      </c>
      <c r="I35" s="12" t="n">
        <f aca="false">G35*H35</f>
        <v>28000</v>
      </c>
      <c r="J35" s="10" t="s">
        <v>210</v>
      </c>
      <c r="K35" s="5" t="s">
        <v>211</v>
      </c>
    </row>
    <row r="36" customFormat="false" ht="15" hidden="false" customHeight="true" outlineLevel="0" collapsed="false">
      <c r="A36" s="13"/>
      <c r="B36" s="13"/>
      <c r="C36" s="13"/>
      <c r="D36" s="13" t="s">
        <v>212</v>
      </c>
      <c r="E36" s="13"/>
      <c r="F36" s="13"/>
      <c r="G36" s="13"/>
      <c r="H36" s="13"/>
      <c r="I36" s="14" t="n">
        <f aca="false">SUM(I4:I35)</f>
        <v>45705399.3965276</v>
      </c>
      <c r="J36" s="13"/>
      <c r="K36" s="13"/>
    </row>
    <row r="38" customFormat="false" ht="15" hidden="false" customHeight="true" outlineLevel="0" collapsed="false">
      <c r="A38" s="15" t="s">
        <v>213</v>
      </c>
    </row>
    <row r="39" customFormat="false" ht="15" hidden="false" customHeight="true" outlineLevel="0" collapsed="false">
      <c r="A39" s="16" t="s">
        <v>35</v>
      </c>
      <c r="B39" s="16" t="s">
        <v>42</v>
      </c>
      <c r="C39" s="16" t="s">
        <v>214</v>
      </c>
    </row>
    <row r="40" customFormat="false" ht="15" hidden="false" customHeight="true" outlineLevel="0" collapsed="false">
      <c r="A40" s="17" t="s">
        <v>45</v>
      </c>
      <c r="B40" s="18" t="n">
        <f aca="false">SUMIF($B$4:$B$35,A40,$I$4:$I$35)</f>
        <v>428651.9125</v>
      </c>
      <c r="C40" s="19" t="n">
        <f aca="false">IF($I$36=0,0,B40/$I$36)</f>
        <v>0.00937858367194503</v>
      </c>
    </row>
    <row r="41" customFormat="false" ht="15" hidden="false" customHeight="true" outlineLevel="0" collapsed="false">
      <c r="A41" s="17" t="s">
        <v>106</v>
      </c>
      <c r="B41" s="18" t="n">
        <f aca="false">SUMIF($B$4:$B$35,A41,$I$4:$I$35)</f>
        <v>479877.534</v>
      </c>
      <c r="C41" s="19" t="n">
        <f aca="false">IF($I$36=0,0,B41/$I$36)</f>
        <v>0.010499362008342</v>
      </c>
    </row>
    <row r="42" customFormat="false" ht="15" hidden="false" customHeight="true" outlineLevel="0" collapsed="false">
      <c r="A42" s="17" t="s">
        <v>118</v>
      </c>
      <c r="B42" s="18" t="n">
        <f aca="false">SUMIF($B$4:$B$35,A42,$I$4:$I$35)</f>
        <v>1229042.0845036</v>
      </c>
      <c r="C42" s="19" t="n">
        <f aca="false">IF($I$36=0,0,B42/$I$36)</f>
        <v>0.026890522798866</v>
      </c>
    </row>
    <row r="43" customFormat="false" ht="15" hidden="false" customHeight="true" outlineLevel="0" collapsed="false">
      <c r="A43" s="17" t="s">
        <v>144</v>
      </c>
      <c r="B43" s="18" t="n">
        <f aca="false">SUMIF($B$4:$B$35,A43,$I$4:$I$35)</f>
        <v>37663278.9066675</v>
      </c>
      <c r="C43" s="19" t="n">
        <f aca="false">IF($I$36=0,0,B43/$I$36)</f>
        <v>0.824044410593837</v>
      </c>
    </row>
    <row r="44" customFormat="false" ht="15" hidden="false" customHeight="true" outlineLevel="0" collapsed="false">
      <c r="A44" s="17" t="s">
        <v>155</v>
      </c>
      <c r="B44" s="18" t="n">
        <f aca="false">SUMIF($B$4:$B$35,A44,$I$4:$I$35)</f>
        <v>1902800.91661605</v>
      </c>
      <c r="C44" s="19" t="n">
        <f aca="false">IF($I$36=0,0,B44/$I$36)</f>
        <v>0.0416318627938871</v>
      </c>
    </row>
    <row r="45" customFormat="false" ht="15" hidden="false" customHeight="true" outlineLevel="0" collapsed="false">
      <c r="A45" s="17" t="s">
        <v>165</v>
      </c>
      <c r="B45" s="18" t="n">
        <f aca="false">SUMIF($B$4:$B$35,A45,$I$4:$I$35)</f>
        <v>3816131.79224045</v>
      </c>
      <c r="C45" s="19" t="n">
        <f aca="false">IF($I$36=0,0,B45/$I$36)</f>
        <v>0.0834941132257204</v>
      </c>
    </row>
    <row r="46" customFormat="false" ht="15" hidden="false" customHeight="true" outlineLevel="0" collapsed="false">
      <c r="A46" s="17" t="s">
        <v>179</v>
      </c>
      <c r="B46" s="18" t="n">
        <f aca="false">SUMIF($B$4:$B$35,A46,$I$4:$I$35)</f>
        <v>54416.25</v>
      </c>
      <c r="C46" s="19" t="n">
        <f aca="false">IF($I$36=0,0,B46/$I$36)</f>
        <v>0.00119058690479651</v>
      </c>
    </row>
    <row r="47" customFormat="false" ht="15" hidden="false" customHeight="true" outlineLevel="0" collapsed="false">
      <c r="A47" s="17" t="s">
        <v>184</v>
      </c>
      <c r="B47" s="18" t="n">
        <f aca="false">SUMIF($B$4:$B$35,A47,$I$4:$I$35)</f>
        <v>131200</v>
      </c>
      <c r="C47" s="19" t="n">
        <f aca="false">IF($I$36=0,0,B47/$I$36)</f>
        <v>0.00287055800260587</v>
      </c>
    </row>
    <row r="48" customFormat="false" ht="15" hidden="false" customHeight="true" outlineLevel="0" collapsed="false">
      <c r="A48" s="20" t="s">
        <v>215</v>
      </c>
      <c r="B48" s="21" t="n">
        <f aca="false">SUM(B40:B47)</f>
        <v>45705399.3965276</v>
      </c>
      <c r="C48" s="22" t="n">
        <f aca="false">SUM(C40:C47)</f>
        <v>1</v>
      </c>
    </row>
    <row r="50" customFormat="false" ht="15" hidden="false" customHeight="true" outlineLevel="0" collapsed="false">
      <c r="A50" s="15" t="s">
        <v>216</v>
      </c>
    </row>
    <row r="51" customFormat="false" ht="15" hidden="false" customHeight="true" outlineLevel="0" collapsed="false">
      <c r="A51" s="4" t="s">
        <v>34</v>
      </c>
      <c r="B51" s="4" t="s">
        <v>217</v>
      </c>
      <c r="C51" s="4" t="s">
        <v>218</v>
      </c>
      <c r="D51" s="4" t="s">
        <v>219</v>
      </c>
      <c r="E51" s="4" t="s">
        <v>220</v>
      </c>
      <c r="F51" s="4" t="s">
        <v>221</v>
      </c>
    </row>
    <row r="52" customFormat="false" ht="15" hidden="false" customHeight="true" outlineLevel="0" collapsed="false">
      <c r="A52" s="10" t="s">
        <v>222</v>
      </c>
      <c r="B52" s="5" t="s">
        <v>8</v>
      </c>
      <c r="C52" s="5" t="s">
        <v>9</v>
      </c>
      <c r="D52" s="10" t="s">
        <v>223</v>
      </c>
      <c r="E52" s="12" t="n">
        <f aca="false">I36</f>
        <v>45705399.3965276</v>
      </c>
      <c r="F52" s="5" t="s">
        <v>224</v>
      </c>
    </row>
    <row r="53" customFormat="false" ht="24.75" hidden="false" customHeight="true" outlineLevel="0" collapsed="false">
      <c r="A53" s="10" t="s">
        <v>225</v>
      </c>
      <c r="B53" s="5" t="s">
        <v>226</v>
      </c>
      <c r="C53" s="5" t="s">
        <v>227</v>
      </c>
      <c r="D53" s="23" t="n">
        <v>0.05</v>
      </c>
      <c r="E53" s="12" t="n">
        <f aca="false">E52*D53</f>
        <v>2285269.96982638</v>
      </c>
      <c r="F53" s="5" t="s">
        <v>228</v>
      </c>
    </row>
    <row r="54" customFormat="false" ht="24.75" hidden="false" customHeight="true" outlineLevel="0" collapsed="false">
      <c r="A54" s="10" t="s">
        <v>229</v>
      </c>
      <c r="B54" s="5" t="s">
        <v>230</v>
      </c>
      <c r="C54" s="5" t="s">
        <v>231</v>
      </c>
      <c r="D54" s="23" t="n">
        <v>0</v>
      </c>
      <c r="E54" s="12" t="n">
        <f aca="false">(E52+E53)*D54</f>
        <v>0</v>
      </c>
      <c r="F54" s="5" t="s">
        <v>228</v>
      </c>
    </row>
    <row r="55" customFormat="false" ht="15" hidden="false" customHeight="true" outlineLevel="0" collapsed="false">
      <c r="A55" s="10" t="s">
        <v>232</v>
      </c>
      <c r="B55" s="5" t="s">
        <v>233</v>
      </c>
      <c r="C55" s="5" t="s">
        <v>11</v>
      </c>
      <c r="D55" s="10" t="s">
        <v>223</v>
      </c>
      <c r="E55" s="12" t="n">
        <f aca="false">E52+E53+E54</f>
        <v>47990669.366354</v>
      </c>
      <c r="F55" s="5"/>
    </row>
    <row r="56" customFormat="false" ht="15" hidden="false" customHeight="true" outlineLevel="0" collapsed="false">
      <c r="A56" s="10" t="s">
        <v>234</v>
      </c>
      <c r="B56" s="5" t="s">
        <v>235</v>
      </c>
      <c r="C56" s="5" t="s">
        <v>236</v>
      </c>
      <c r="D56" s="23" t="n">
        <v>0.03</v>
      </c>
      <c r="E56" s="12" t="n">
        <f aca="false">E55*D56</f>
        <v>1439720.08099062</v>
      </c>
      <c r="F56" s="5" t="s">
        <v>237</v>
      </c>
    </row>
    <row r="57" customFormat="false" ht="15.75" hidden="false" customHeight="true" outlineLevel="0" collapsed="false">
      <c r="A57" s="13" t="s">
        <v>238</v>
      </c>
      <c r="B57" s="24" t="s">
        <v>6</v>
      </c>
      <c r="C57" s="24" t="s">
        <v>239</v>
      </c>
      <c r="D57" s="13" t="s">
        <v>223</v>
      </c>
      <c r="E57" s="25" t="n">
        <f aca="false">E55+E56</f>
        <v>49430389.4473446</v>
      </c>
      <c r="F57" s="24" t="s">
        <v>240</v>
      </c>
    </row>
    <row r="58" customFormat="false" ht="24.75" hidden="false" customHeight="true" outlineLevel="0" collapsed="false">
      <c r="A58" s="10" t="s">
        <v>241</v>
      </c>
      <c r="B58" s="5" t="s">
        <v>12</v>
      </c>
      <c r="C58" s="5" t="s">
        <v>242</v>
      </c>
      <c r="D58" s="10" t="s">
        <v>223</v>
      </c>
      <c r="E58" s="12" t="n">
        <f aca="false">工程量计算!C28*10000</f>
        <v>57980000</v>
      </c>
      <c r="F58" s="5" t="s">
        <v>243</v>
      </c>
    </row>
    <row r="59" customFormat="false" ht="24.75" hidden="false" customHeight="true" outlineLevel="0" collapsed="false">
      <c r="A59" s="10" t="s">
        <v>244</v>
      </c>
      <c r="B59" s="5" t="s">
        <v>14</v>
      </c>
      <c r="C59" s="5" t="s">
        <v>245</v>
      </c>
      <c r="D59" s="10" t="s">
        <v>223</v>
      </c>
      <c r="E59" s="12" t="n">
        <f aca="false">E57-E58</f>
        <v>-8549610.55265538</v>
      </c>
      <c r="F59" s="5" t="s">
        <v>15</v>
      </c>
    </row>
    <row r="60" customFormat="false" ht="18" hidden="false" customHeight="false" outlineLevel="0" collapsed="false">
      <c r="E60" s="0" t="n">
        <f aca="false">E59/E57</f>
        <v>-0.172962637928694</v>
      </c>
    </row>
    <row r="88" customFormat="false" ht="15" hidden="false" customHeight="true" outlineLevel="0" collapsed="false">
      <c r="A88" s="2" t="s">
        <v>246</v>
      </c>
      <c r="B88" s="2"/>
      <c r="C88" s="2"/>
      <c r="D88" s="2"/>
      <c r="E88" s="2"/>
      <c r="F88" s="2"/>
      <c r="G88" s="2"/>
      <c r="H88" s="2"/>
      <c r="I88" s="2"/>
      <c r="J88" s="2"/>
      <c r="K88" s="2"/>
    </row>
  </sheetData>
  <autoFilter ref="A3:K36"/>
  <mergeCells count="3">
    <mergeCell ref="A1:K1"/>
    <mergeCell ref="A2:K2"/>
    <mergeCell ref="A88:K88"/>
  </mergeCells>
  <printOptions headings="false" gridLines="false" gridLinesSet="true" horizontalCentered="false" verticalCentered="false"/>
  <pageMargins left="0.4" right="0.4" top="0.7" bottom="0.5" header="0.5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&amp;L&amp;"Calibri,标准"旺平矿业  费用汇总</oddHeader>
    <oddFooter>&amp;R&amp;"Calibri,标准"第 &amp;P 页 / 共 &amp;N 页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P1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8" customHeight="false" zeroHeight="false" outlineLevelRow="0" outlineLevelCol="0"/>
  <cols>
    <col collapsed="false" customWidth="true" hidden="false" outlineLevel="0" max="1" min="1" style="0" width="7.3"/>
    <col collapsed="false" customWidth="true" hidden="false" outlineLevel="0" max="2" min="2" style="0" width="9.1"/>
    <col collapsed="false" customWidth="true" hidden="false" outlineLevel="0" max="3" min="3" style="0" width="20.01"/>
    <col collapsed="false" customWidth="true" hidden="false" outlineLevel="0" max="5" min="4" style="0" width="7.3"/>
    <col collapsed="false" customWidth="true" hidden="false" outlineLevel="0" max="6" min="6" style="0" width="9.1"/>
    <col collapsed="false" customWidth="true" hidden="false" outlineLevel="0" max="7" min="7" style="0" width="18.2"/>
    <col collapsed="false" customWidth="true" hidden="false" outlineLevel="0" max="8" min="8" style="0" width="9.1"/>
    <col collapsed="false" customWidth="true" hidden="false" outlineLevel="0" max="11" min="9" style="0" width="10.92"/>
    <col collapsed="false" customWidth="true" hidden="false" outlineLevel="0" max="14" min="12" style="0" width="9.1"/>
    <col collapsed="false" customWidth="true" hidden="false" outlineLevel="0" max="15" min="15" style="0" width="38.2"/>
    <col collapsed="false" customWidth="true" hidden="false" outlineLevel="0" max="16" min="16" style="0" width="10.92"/>
  </cols>
  <sheetData>
    <row r="1" customFormat="false" ht="19.5" hidden="false" customHeight="true" outlineLevel="0" collapsed="false">
      <c r="A1" s="9" t="s">
        <v>247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customFormat="false" ht="15" hidden="false" customHeight="true" outlineLevel="0" collapsed="false">
      <c r="A2" s="26" t="s">
        <v>248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customFormat="false" ht="27.75" hidden="false" customHeight="true" outlineLevel="0" collapsed="false">
      <c r="A3" s="4" t="s">
        <v>34</v>
      </c>
      <c r="B3" s="4" t="s">
        <v>249</v>
      </c>
      <c r="C3" s="4" t="s">
        <v>37</v>
      </c>
      <c r="D3" s="4" t="s">
        <v>39</v>
      </c>
      <c r="E3" s="4" t="s">
        <v>250</v>
      </c>
      <c r="F3" s="4" t="s">
        <v>251</v>
      </c>
      <c r="G3" s="4" t="s">
        <v>252</v>
      </c>
      <c r="H3" s="4" t="s">
        <v>253</v>
      </c>
      <c r="I3" s="4" t="s">
        <v>254</v>
      </c>
      <c r="J3" s="4" t="s">
        <v>255</v>
      </c>
      <c r="K3" s="4" t="s">
        <v>256</v>
      </c>
      <c r="L3" s="4" t="s">
        <v>257</v>
      </c>
      <c r="M3" s="4" t="s">
        <v>258</v>
      </c>
      <c r="N3" s="4" t="s">
        <v>259</v>
      </c>
      <c r="O3" s="4" t="s">
        <v>260</v>
      </c>
      <c r="P3" s="4" t="s">
        <v>41</v>
      </c>
    </row>
    <row r="4" customFormat="false" ht="18" hidden="false" customHeight="false" outlineLevel="0" collapsed="false">
      <c r="A4" s="20" t="n">
        <v>1</v>
      </c>
      <c r="B4" s="20" t="s">
        <v>46</v>
      </c>
      <c r="C4" s="27" t="s">
        <v>47</v>
      </c>
      <c r="D4" s="20" t="s">
        <v>49</v>
      </c>
      <c r="E4" s="20" t="s">
        <v>261</v>
      </c>
      <c r="F4" s="20"/>
      <c r="G4" s="20"/>
      <c r="H4" s="20"/>
      <c r="I4" s="20"/>
      <c r="J4" s="20"/>
      <c r="K4" s="28" t="n">
        <f aca="false">SUM(K5:K6)</f>
        <v>13000</v>
      </c>
      <c r="L4" s="28" t="n">
        <f aca="false">SUMIF(E5:E6,"人工",K5:K6)</f>
        <v>13000</v>
      </c>
      <c r="M4" s="28" t="n">
        <f aca="false">SUMIF(E5:E6,"材料",K5:K6)+SUMIF(E5:E6,"外委",K5:K6)</f>
        <v>0</v>
      </c>
      <c r="N4" s="28" t="n">
        <f aca="false">SUMIF(E5:E6,"机械",K5:K6)</f>
        <v>0</v>
      </c>
      <c r="O4" s="27" t="s">
        <v>262</v>
      </c>
      <c r="P4" s="28" t="n">
        <f aca="false">K4</f>
        <v>13000</v>
      </c>
    </row>
    <row r="5" customFormat="false" ht="18" hidden="false" customHeight="false" outlineLevel="0" collapsed="false">
      <c r="A5" s="10" t="s">
        <v>263</v>
      </c>
      <c r="B5" s="10" t="s">
        <v>46</v>
      </c>
      <c r="C5" s="5" t="s">
        <v>47</v>
      </c>
      <c r="D5" s="10" t="s">
        <v>49</v>
      </c>
      <c r="E5" s="10" t="s">
        <v>257</v>
      </c>
      <c r="F5" s="10" t="s">
        <v>264</v>
      </c>
      <c r="G5" s="5" t="s">
        <v>265</v>
      </c>
      <c r="H5" s="10" t="s">
        <v>266</v>
      </c>
      <c r="I5" s="29" t="n">
        <v>20</v>
      </c>
      <c r="J5" s="11" t="n">
        <f aca="false">IFERROR(VLOOKUP(F5,工料机价格!$A$4:$F$36,6,FALSE()),0)</f>
        <v>350</v>
      </c>
      <c r="K5" s="12" t="n">
        <f aca="false">I5*J5</f>
        <v>7000</v>
      </c>
      <c r="L5" s="10"/>
      <c r="M5" s="10"/>
      <c r="N5" s="10"/>
      <c r="O5" s="5" t="s">
        <v>267</v>
      </c>
      <c r="P5" s="10"/>
    </row>
    <row r="6" customFormat="false" ht="18" hidden="false" customHeight="false" outlineLevel="0" collapsed="false">
      <c r="A6" s="10" t="s">
        <v>268</v>
      </c>
      <c r="B6" s="10" t="s">
        <v>46</v>
      </c>
      <c r="C6" s="5" t="s">
        <v>47</v>
      </c>
      <c r="D6" s="10" t="s">
        <v>49</v>
      </c>
      <c r="E6" s="10" t="s">
        <v>257</v>
      </c>
      <c r="F6" s="10" t="s">
        <v>269</v>
      </c>
      <c r="G6" s="5" t="s">
        <v>270</v>
      </c>
      <c r="H6" s="10" t="s">
        <v>266</v>
      </c>
      <c r="I6" s="29" t="n">
        <v>20</v>
      </c>
      <c r="J6" s="11" t="n">
        <f aca="false">IFERROR(VLOOKUP(F6,工料机价格!$A$4:$F$36,6,FALSE()),0)</f>
        <v>300</v>
      </c>
      <c r="K6" s="12" t="n">
        <f aca="false">I6*J6</f>
        <v>6000</v>
      </c>
      <c r="L6" s="10"/>
      <c r="M6" s="10"/>
      <c r="N6" s="10"/>
      <c r="O6" s="5" t="s">
        <v>271</v>
      </c>
      <c r="P6" s="10"/>
    </row>
    <row r="7" customFormat="false" ht="18" hidden="false" customHeight="false" outlineLevel="0" collapsed="false">
      <c r="A7" s="20" t="n">
        <v>2</v>
      </c>
      <c r="B7" s="20" t="s">
        <v>53</v>
      </c>
      <c r="C7" s="27" t="s">
        <v>54</v>
      </c>
      <c r="D7" s="20" t="s">
        <v>56</v>
      </c>
      <c r="E7" s="20" t="s">
        <v>261</v>
      </c>
      <c r="F7" s="20"/>
      <c r="G7" s="20"/>
      <c r="H7" s="20"/>
      <c r="I7" s="20"/>
      <c r="J7" s="20"/>
      <c r="K7" s="28" t="n">
        <f aca="false">SUM(K8:K13)</f>
        <v>234.1987</v>
      </c>
      <c r="L7" s="28" t="n">
        <f aca="false">SUMIF(E8:E13,"人工",K8:K13)</f>
        <v>9</v>
      </c>
      <c r="M7" s="28" t="n">
        <f aca="false">SUMIF(E8:E13,"材料",K8:K13)+SUMIF(E8:E13,"外委",K8:K13)</f>
        <v>213.75</v>
      </c>
      <c r="N7" s="28" t="n">
        <f aca="false">SUMIF(E8:E13,"机械",K8:K13)</f>
        <v>11.4487</v>
      </c>
      <c r="O7" s="27" t="s">
        <v>262</v>
      </c>
      <c r="P7" s="28" t="n">
        <f aca="false">K7</f>
        <v>234.1987</v>
      </c>
    </row>
    <row r="8" customFormat="false" ht="28.5" hidden="false" customHeight="true" outlineLevel="0" collapsed="false">
      <c r="A8" s="10" t="s">
        <v>272</v>
      </c>
      <c r="B8" s="10" t="s">
        <v>53</v>
      </c>
      <c r="C8" s="5" t="s">
        <v>54</v>
      </c>
      <c r="D8" s="10" t="s">
        <v>56</v>
      </c>
      <c r="E8" s="10" t="s">
        <v>257</v>
      </c>
      <c r="F8" s="10" t="s">
        <v>269</v>
      </c>
      <c r="G8" s="5" t="s">
        <v>270</v>
      </c>
      <c r="H8" s="10" t="s">
        <v>266</v>
      </c>
      <c r="I8" s="29" t="n">
        <v>0.03</v>
      </c>
      <c r="J8" s="11" t="n">
        <f aca="false">IFERROR(VLOOKUP(F8,工料机价格!$A$4:$F$36,6,FALSE()),0)</f>
        <v>300</v>
      </c>
      <c r="K8" s="12" t="n">
        <f aca="false">I8*J8</f>
        <v>9</v>
      </c>
      <c r="L8" s="10"/>
      <c r="M8" s="10"/>
      <c r="N8" s="10"/>
      <c r="O8" s="5" t="s">
        <v>273</v>
      </c>
      <c r="P8" s="10"/>
    </row>
    <row r="9" customFormat="false" ht="18" hidden="false" customHeight="false" outlineLevel="0" collapsed="false">
      <c r="A9" s="10" t="s">
        <v>274</v>
      </c>
      <c r="B9" s="10" t="s">
        <v>53</v>
      </c>
      <c r="C9" s="5" t="s">
        <v>54</v>
      </c>
      <c r="D9" s="10" t="s">
        <v>56</v>
      </c>
      <c r="E9" s="10" t="s">
        <v>257</v>
      </c>
      <c r="F9" s="10" t="s">
        <v>264</v>
      </c>
      <c r="G9" s="5" t="s">
        <v>265</v>
      </c>
      <c r="H9" s="10" t="s">
        <v>266</v>
      </c>
      <c r="I9" s="29" t="n">
        <v>0</v>
      </c>
      <c r="J9" s="11" t="n">
        <f aca="false">IFERROR(VLOOKUP(F9,工料机价格!$A$4:$F$36,6,FALSE()),0)</f>
        <v>350</v>
      </c>
      <c r="K9" s="12" t="n">
        <f aca="false">I9*J9</f>
        <v>0</v>
      </c>
      <c r="L9" s="10"/>
      <c r="M9" s="10"/>
      <c r="N9" s="10"/>
      <c r="O9" s="5" t="s">
        <v>275</v>
      </c>
      <c r="P9" s="10"/>
    </row>
    <row r="10" customFormat="false" ht="28.5" hidden="false" customHeight="true" outlineLevel="0" collapsed="false">
      <c r="A10" s="10" t="s">
        <v>276</v>
      </c>
      <c r="B10" s="10" t="s">
        <v>53</v>
      </c>
      <c r="C10" s="5" t="s">
        <v>54</v>
      </c>
      <c r="D10" s="10" t="s">
        <v>56</v>
      </c>
      <c r="E10" s="10" t="s">
        <v>258</v>
      </c>
      <c r="F10" s="10" t="s">
        <v>277</v>
      </c>
      <c r="G10" s="5" t="s">
        <v>278</v>
      </c>
      <c r="H10" s="10" t="s">
        <v>122</v>
      </c>
      <c r="I10" s="29" t="n">
        <v>0.75</v>
      </c>
      <c r="J10" s="11" t="n">
        <f aca="false">IFERROR(VLOOKUP(F10,工料机价格!$A$4:$F$36,6,FALSE()),0)</f>
        <v>78</v>
      </c>
      <c r="K10" s="12" t="n">
        <f aca="false">I10*J10</f>
        <v>58.5</v>
      </c>
      <c r="L10" s="10"/>
      <c r="M10" s="10"/>
      <c r="N10" s="10"/>
      <c r="O10" s="5" t="s">
        <v>279</v>
      </c>
      <c r="P10" s="10"/>
    </row>
    <row r="11" customFormat="false" ht="18" hidden="false" customHeight="false" outlineLevel="0" collapsed="false">
      <c r="A11" s="10" t="s">
        <v>280</v>
      </c>
      <c r="B11" s="10" t="s">
        <v>53</v>
      </c>
      <c r="C11" s="5" t="s">
        <v>54</v>
      </c>
      <c r="D11" s="10" t="s">
        <v>56</v>
      </c>
      <c r="E11" s="10" t="s">
        <v>258</v>
      </c>
      <c r="F11" s="10" t="s">
        <v>281</v>
      </c>
      <c r="G11" s="5" t="s">
        <v>282</v>
      </c>
      <c r="H11" s="10" t="s">
        <v>122</v>
      </c>
      <c r="I11" s="29" t="n">
        <v>0.45</v>
      </c>
      <c r="J11" s="11" t="n">
        <f aca="false">IFERROR(VLOOKUP(F11,工料机价格!$A$4:$F$36,6,FALSE()),0)</f>
        <v>345</v>
      </c>
      <c r="K11" s="12" t="n">
        <f aca="false">I11*J11</f>
        <v>155.25</v>
      </c>
      <c r="L11" s="10"/>
      <c r="M11" s="10"/>
      <c r="N11" s="10"/>
      <c r="O11" s="5" t="s">
        <v>283</v>
      </c>
      <c r="P11" s="10"/>
    </row>
    <row r="12" customFormat="false" ht="28.5" hidden="false" customHeight="true" outlineLevel="0" collapsed="false">
      <c r="A12" s="10" t="s">
        <v>284</v>
      </c>
      <c r="B12" s="10" t="s">
        <v>53</v>
      </c>
      <c r="C12" s="5" t="s">
        <v>54</v>
      </c>
      <c r="D12" s="10" t="s">
        <v>56</v>
      </c>
      <c r="E12" s="10" t="s">
        <v>259</v>
      </c>
      <c r="F12" s="10" t="s">
        <v>285</v>
      </c>
      <c r="G12" s="5" t="s">
        <v>286</v>
      </c>
      <c r="H12" s="10" t="s">
        <v>287</v>
      </c>
      <c r="I12" s="29" t="n">
        <v>0.005</v>
      </c>
      <c r="J12" s="11" t="n">
        <f aca="false">IFERROR(VLOOKUP(F12,工料机价格!$A$4:$F$41,6,FALSE()),0)</f>
        <v>1445.9</v>
      </c>
      <c r="K12" s="12" t="n">
        <f aca="false">I12*J12</f>
        <v>7.2295</v>
      </c>
      <c r="L12" s="10"/>
      <c r="M12" s="10"/>
      <c r="N12" s="10"/>
      <c r="O12" s="5" t="s">
        <v>288</v>
      </c>
      <c r="P12" s="10"/>
    </row>
    <row r="13" customFormat="false" ht="18" hidden="false" customHeight="false" outlineLevel="0" collapsed="false">
      <c r="A13" s="10" t="s">
        <v>289</v>
      </c>
      <c r="B13" s="10" t="s">
        <v>53</v>
      </c>
      <c r="C13" s="5" t="s">
        <v>54</v>
      </c>
      <c r="D13" s="10" t="s">
        <v>56</v>
      </c>
      <c r="E13" s="10" t="s">
        <v>259</v>
      </c>
      <c r="F13" s="10" t="s">
        <v>290</v>
      </c>
      <c r="G13" s="5" t="s">
        <v>291</v>
      </c>
      <c r="H13" s="10" t="s">
        <v>287</v>
      </c>
      <c r="I13" s="29" t="n">
        <v>0.004</v>
      </c>
      <c r="J13" s="11" t="n">
        <f aca="false">IFERROR(VLOOKUP(F13,工料机价格!$A$4:$F$36,6,FALSE()),0)</f>
        <v>1054.8</v>
      </c>
      <c r="K13" s="12" t="n">
        <f aca="false">I13*J13</f>
        <v>4.2192</v>
      </c>
      <c r="L13" s="10"/>
      <c r="M13" s="10"/>
      <c r="N13" s="10"/>
      <c r="O13" s="5" t="s">
        <v>292</v>
      </c>
      <c r="P13" s="10"/>
    </row>
    <row r="14" customFormat="false" ht="28.5" hidden="false" customHeight="true" outlineLevel="0" collapsed="false">
      <c r="A14" s="20" t="n">
        <v>3</v>
      </c>
      <c r="B14" s="20" t="s">
        <v>59</v>
      </c>
      <c r="C14" s="27" t="s">
        <v>60</v>
      </c>
      <c r="D14" s="20" t="s">
        <v>62</v>
      </c>
      <c r="E14" s="20" t="s">
        <v>261</v>
      </c>
      <c r="F14" s="20"/>
      <c r="G14" s="20"/>
      <c r="H14" s="20"/>
      <c r="I14" s="20"/>
      <c r="J14" s="20"/>
      <c r="K14" s="28" t="n">
        <f aca="false">SUM(K15:K20)</f>
        <v>26207.957</v>
      </c>
      <c r="L14" s="28" t="n">
        <f aca="false">SUMIF(E15:E20,"人工",K15:K20)</f>
        <v>5550</v>
      </c>
      <c r="M14" s="28" t="n">
        <f aca="false">SUMIF(E15:E20,"材料",K15:K20)+SUMIF(E15:E20,"外委",K15:K20)</f>
        <v>20657.957</v>
      </c>
      <c r="N14" s="28" t="n">
        <f aca="false">SUMIF(E15:E20,"机械",K15:K20)</f>
        <v>0</v>
      </c>
      <c r="O14" s="27" t="s">
        <v>293</v>
      </c>
      <c r="P14" s="28" t="n">
        <f aca="false">K14</f>
        <v>26207.957</v>
      </c>
    </row>
    <row r="15" customFormat="false" ht="28.5" hidden="false" customHeight="true" outlineLevel="0" collapsed="false">
      <c r="A15" s="10" t="s">
        <v>294</v>
      </c>
      <c r="B15" s="10" t="s">
        <v>59</v>
      </c>
      <c r="C15" s="5" t="s">
        <v>295</v>
      </c>
      <c r="D15" s="10" t="s">
        <v>62</v>
      </c>
      <c r="E15" s="10" t="s">
        <v>257</v>
      </c>
      <c r="F15" s="10" t="s">
        <v>269</v>
      </c>
      <c r="G15" s="5" t="s">
        <v>270</v>
      </c>
      <c r="H15" s="10" t="s">
        <v>266</v>
      </c>
      <c r="I15" s="29" t="n">
        <v>18.5</v>
      </c>
      <c r="J15" s="11" t="n">
        <f aca="false">IFERROR(VLOOKUP(F15,工料机价格!$A$4:$F$43,6,FALSE()),0)</f>
        <v>300</v>
      </c>
      <c r="K15" s="12" t="n">
        <f aca="false">I15*J15</f>
        <v>5550</v>
      </c>
      <c r="L15" s="10"/>
      <c r="M15" s="10"/>
      <c r="N15" s="10"/>
      <c r="O15" s="5" t="s">
        <v>296</v>
      </c>
      <c r="P15" s="10"/>
    </row>
    <row r="16" customFormat="false" ht="28.5" hidden="false" customHeight="true" outlineLevel="0" collapsed="false">
      <c r="A16" s="10" t="s">
        <v>297</v>
      </c>
      <c r="B16" s="10" t="s">
        <v>59</v>
      </c>
      <c r="C16" s="5" t="s">
        <v>295</v>
      </c>
      <c r="D16" s="10" t="s">
        <v>62</v>
      </c>
      <c r="E16" s="10" t="s">
        <v>258</v>
      </c>
      <c r="F16" s="10" t="s">
        <v>298</v>
      </c>
      <c r="G16" s="5" t="s">
        <v>299</v>
      </c>
      <c r="H16" s="10" t="s">
        <v>62</v>
      </c>
      <c r="I16" s="29" t="n">
        <v>1</v>
      </c>
      <c r="J16" s="11" t="n">
        <f aca="false">工料机价格!F44</f>
        <v>990.9</v>
      </c>
      <c r="K16" s="12" t="n">
        <f aca="false">I16*J16</f>
        <v>990.9</v>
      </c>
      <c r="L16" s="10"/>
      <c r="M16" s="10"/>
      <c r="N16" s="10"/>
      <c r="O16" s="5" t="s">
        <v>300</v>
      </c>
      <c r="P16" s="10"/>
    </row>
    <row r="17" customFormat="false" ht="28.5" hidden="false" customHeight="true" outlineLevel="0" collapsed="false">
      <c r="A17" s="10" t="s">
        <v>301</v>
      </c>
      <c r="B17" s="10" t="s">
        <v>59</v>
      </c>
      <c r="C17" s="5" t="s">
        <v>295</v>
      </c>
      <c r="D17" s="10" t="s">
        <v>62</v>
      </c>
      <c r="E17" s="10" t="s">
        <v>258</v>
      </c>
      <c r="F17" s="10" t="s">
        <v>281</v>
      </c>
      <c r="G17" s="5" t="s">
        <v>282</v>
      </c>
      <c r="H17" s="10" t="s">
        <v>122</v>
      </c>
      <c r="I17" s="29" t="n">
        <v>12</v>
      </c>
      <c r="J17" s="11" t="n">
        <f aca="false">IFERROR(VLOOKUP(F17,工料机价格!$A$4:$F$43,6,FALSE()),0)</f>
        <v>345</v>
      </c>
      <c r="K17" s="12" t="n">
        <f aca="false">I17*J17</f>
        <v>4140</v>
      </c>
      <c r="L17" s="10"/>
      <c r="M17" s="10"/>
      <c r="N17" s="10"/>
      <c r="O17" s="5" t="s">
        <v>302</v>
      </c>
      <c r="P17" s="10"/>
    </row>
    <row r="18" customFormat="false" ht="18" hidden="false" customHeight="false" outlineLevel="0" collapsed="false">
      <c r="A18" s="10" t="s">
        <v>303</v>
      </c>
      <c r="B18" s="10" t="s">
        <v>59</v>
      </c>
      <c r="C18" s="5" t="s">
        <v>295</v>
      </c>
      <c r="D18" s="10" t="s">
        <v>62</v>
      </c>
      <c r="E18" s="10" t="s">
        <v>258</v>
      </c>
      <c r="F18" s="10" t="s">
        <v>304</v>
      </c>
      <c r="G18" s="5" t="s">
        <v>305</v>
      </c>
      <c r="H18" s="10" t="s">
        <v>148</v>
      </c>
      <c r="I18" s="29" t="n">
        <v>1.15</v>
      </c>
      <c r="J18" s="11" t="n">
        <f aca="false">IFERROR(VLOOKUP(F18,工料机价格!$A$4:$F$43,6,FALSE()),0)</f>
        <v>3039.18</v>
      </c>
      <c r="K18" s="12" t="n">
        <f aca="false">I18*J18</f>
        <v>3495.057</v>
      </c>
      <c r="L18" s="10"/>
      <c r="M18" s="10"/>
      <c r="N18" s="10"/>
      <c r="O18" s="5" t="s">
        <v>306</v>
      </c>
      <c r="P18" s="10"/>
    </row>
    <row r="19" customFormat="false" ht="18" hidden="false" customHeight="false" outlineLevel="0" collapsed="false">
      <c r="A19" s="10" t="s">
        <v>307</v>
      </c>
      <c r="B19" s="10" t="s">
        <v>59</v>
      </c>
      <c r="C19" s="5" t="s">
        <v>295</v>
      </c>
      <c r="D19" s="10" t="s">
        <v>62</v>
      </c>
      <c r="E19" s="10" t="s">
        <v>258</v>
      </c>
      <c r="F19" s="10" t="s">
        <v>308</v>
      </c>
      <c r="G19" s="5" t="s">
        <v>309</v>
      </c>
      <c r="H19" s="10" t="s">
        <v>78</v>
      </c>
      <c r="I19" s="29" t="n">
        <v>14.4</v>
      </c>
      <c r="J19" s="11" t="n">
        <f aca="false">IFERROR(VLOOKUP(F19,工料机价格!$A$4:$F$43,6,FALSE()),0)</f>
        <v>280</v>
      </c>
      <c r="K19" s="12" t="n">
        <f aca="false">I19*J19</f>
        <v>4032</v>
      </c>
      <c r="L19" s="10"/>
      <c r="M19" s="10"/>
      <c r="N19" s="10"/>
      <c r="O19" s="5" t="s">
        <v>310</v>
      </c>
      <c r="P19" s="10"/>
    </row>
    <row r="20" customFormat="false" ht="18" hidden="false" customHeight="false" outlineLevel="0" collapsed="false">
      <c r="A20" s="10" t="s">
        <v>311</v>
      </c>
      <c r="B20" s="10" t="s">
        <v>59</v>
      </c>
      <c r="C20" s="5" t="s">
        <v>295</v>
      </c>
      <c r="D20" s="10" t="s">
        <v>62</v>
      </c>
      <c r="E20" s="10" t="s">
        <v>258</v>
      </c>
      <c r="F20" s="10" t="s">
        <v>312</v>
      </c>
      <c r="G20" s="5" t="s">
        <v>313</v>
      </c>
      <c r="H20" s="10" t="s">
        <v>314</v>
      </c>
      <c r="I20" s="29" t="n">
        <v>1</v>
      </c>
      <c r="J20" s="11" t="n">
        <f aca="false">IFERROR(VLOOKUP(F20,工料机价格!$A$4:$F$43,6,FALSE()),0)</f>
        <v>8000</v>
      </c>
      <c r="K20" s="12" t="n">
        <f aca="false">I20*J20</f>
        <v>8000</v>
      </c>
      <c r="L20" s="10"/>
      <c r="M20" s="10"/>
      <c r="N20" s="10"/>
      <c r="O20" s="5" t="s">
        <v>315</v>
      </c>
      <c r="P20" s="10"/>
    </row>
    <row r="21" customFormat="false" ht="18" hidden="false" customHeight="false" outlineLevel="0" collapsed="false">
      <c r="A21" s="20" t="n">
        <v>4</v>
      </c>
      <c r="B21" s="20" t="s">
        <v>65</v>
      </c>
      <c r="C21" s="27" t="s">
        <v>66</v>
      </c>
      <c r="D21" s="20" t="s">
        <v>56</v>
      </c>
      <c r="E21" s="20" t="s">
        <v>261</v>
      </c>
      <c r="F21" s="20"/>
      <c r="G21" s="20"/>
      <c r="H21" s="20"/>
      <c r="I21" s="20"/>
      <c r="J21" s="20"/>
      <c r="K21" s="28" t="n">
        <f aca="false">SUM(K22:K26)</f>
        <v>70.65325</v>
      </c>
      <c r="L21" s="28" t="n">
        <f aca="false">SUMIF(E22:E26,"人工",K22:K26)</f>
        <v>24</v>
      </c>
      <c r="M21" s="28" t="n">
        <f aca="false">SUMIF(E22:E26,"材料",K22:K26)+SUMIF(E22:E26,"外委",K22:K26)</f>
        <v>42.22</v>
      </c>
      <c r="N21" s="28" t="n">
        <f aca="false">SUMIF(E22:E26,"机械",K22:K26)</f>
        <v>4.43325</v>
      </c>
      <c r="O21" s="27" t="s">
        <v>262</v>
      </c>
      <c r="P21" s="28" t="n">
        <f aca="false">K21</f>
        <v>70.65325</v>
      </c>
    </row>
    <row r="22" customFormat="false" ht="28.5" hidden="false" customHeight="true" outlineLevel="0" collapsed="false">
      <c r="A22" s="10" t="s">
        <v>316</v>
      </c>
      <c r="B22" s="10" t="s">
        <v>65</v>
      </c>
      <c r="C22" s="5" t="s">
        <v>66</v>
      </c>
      <c r="D22" s="10" t="s">
        <v>56</v>
      </c>
      <c r="E22" s="10" t="s">
        <v>257</v>
      </c>
      <c r="F22" s="10" t="s">
        <v>269</v>
      </c>
      <c r="G22" s="5" t="s">
        <v>270</v>
      </c>
      <c r="H22" s="10" t="s">
        <v>266</v>
      </c>
      <c r="I22" s="29" t="n">
        <v>0.08</v>
      </c>
      <c r="J22" s="11" t="n">
        <f aca="false">IFERROR(VLOOKUP(F22,工料机价格!$A$4:$F$36,6,FALSE()),0)</f>
        <v>300</v>
      </c>
      <c r="K22" s="12" t="n">
        <f aca="false">I22*J22</f>
        <v>24</v>
      </c>
      <c r="L22" s="10"/>
      <c r="M22" s="10"/>
      <c r="N22" s="10"/>
      <c r="O22" s="5" t="s">
        <v>317</v>
      </c>
      <c r="P22" s="10"/>
    </row>
    <row r="23" customFormat="false" ht="18" hidden="false" customHeight="false" outlineLevel="0" collapsed="false">
      <c r="A23" s="10" t="s">
        <v>318</v>
      </c>
      <c r="B23" s="10" t="s">
        <v>65</v>
      </c>
      <c r="C23" s="5" t="s">
        <v>66</v>
      </c>
      <c r="D23" s="10" t="s">
        <v>56</v>
      </c>
      <c r="E23" s="10" t="s">
        <v>258</v>
      </c>
      <c r="F23" s="10" t="s">
        <v>319</v>
      </c>
      <c r="G23" s="5" t="s">
        <v>320</v>
      </c>
      <c r="H23" s="10" t="s">
        <v>321</v>
      </c>
      <c r="I23" s="29" t="n">
        <v>0.064</v>
      </c>
      <c r="J23" s="11" t="n">
        <f aca="false">IFERROR(VLOOKUP(F23,工料机价格!$A$4:$F$36,6,FALSE()),0)</f>
        <v>330</v>
      </c>
      <c r="K23" s="12" t="n">
        <f aca="false">I23*J23</f>
        <v>21.12</v>
      </c>
      <c r="L23" s="10"/>
      <c r="M23" s="10"/>
      <c r="N23" s="10"/>
      <c r="O23" s="5" t="s">
        <v>322</v>
      </c>
      <c r="P23" s="10"/>
    </row>
    <row r="24" customFormat="false" ht="18" hidden="false" customHeight="false" outlineLevel="0" collapsed="false">
      <c r="A24" s="10" t="s">
        <v>323</v>
      </c>
      <c r="B24" s="10" t="s">
        <v>65</v>
      </c>
      <c r="C24" s="5" t="s">
        <v>66</v>
      </c>
      <c r="D24" s="10" t="s">
        <v>56</v>
      </c>
      <c r="E24" s="10" t="s">
        <v>258</v>
      </c>
      <c r="F24" s="10" t="s">
        <v>324</v>
      </c>
      <c r="G24" s="5" t="s">
        <v>325</v>
      </c>
      <c r="H24" s="10" t="s">
        <v>148</v>
      </c>
      <c r="I24" s="29" t="n">
        <v>0.05</v>
      </c>
      <c r="J24" s="11" t="n">
        <f aca="false">IFERROR(VLOOKUP(F24,工料机价格!$A$4:$F$36,6,FALSE()),0)</f>
        <v>215</v>
      </c>
      <c r="K24" s="12" t="n">
        <f aca="false">I24*J24</f>
        <v>10.75</v>
      </c>
      <c r="L24" s="10"/>
      <c r="M24" s="10"/>
      <c r="N24" s="10"/>
      <c r="O24" s="5" t="s">
        <v>326</v>
      </c>
      <c r="P24" s="10"/>
    </row>
    <row r="25" customFormat="false" ht="18" hidden="false" customHeight="false" outlineLevel="0" collapsed="false">
      <c r="A25" s="10" t="s">
        <v>327</v>
      </c>
      <c r="B25" s="10" t="s">
        <v>65</v>
      </c>
      <c r="C25" s="5" t="s">
        <v>66</v>
      </c>
      <c r="D25" s="10" t="s">
        <v>56</v>
      </c>
      <c r="E25" s="10" t="s">
        <v>258</v>
      </c>
      <c r="F25" s="10" t="s">
        <v>281</v>
      </c>
      <c r="G25" s="5" t="s">
        <v>282</v>
      </c>
      <c r="H25" s="10" t="s">
        <v>122</v>
      </c>
      <c r="I25" s="29" t="n">
        <v>0.03</v>
      </c>
      <c r="J25" s="11" t="n">
        <f aca="false">IFERROR(VLOOKUP(F25,工料机价格!$A$4:$F$36,6,FALSE()),0)</f>
        <v>345</v>
      </c>
      <c r="K25" s="12" t="n">
        <f aca="false">I25*J25</f>
        <v>10.35</v>
      </c>
      <c r="L25" s="10"/>
      <c r="M25" s="10"/>
      <c r="N25" s="10"/>
      <c r="O25" s="5" t="s">
        <v>328</v>
      </c>
      <c r="P25" s="10"/>
    </row>
    <row r="26" customFormat="false" ht="28.5" hidden="false" customHeight="true" outlineLevel="0" collapsed="false">
      <c r="A26" s="10" t="s">
        <v>329</v>
      </c>
      <c r="B26" s="10" t="s">
        <v>65</v>
      </c>
      <c r="C26" s="5" t="s">
        <v>66</v>
      </c>
      <c r="D26" s="10" t="s">
        <v>56</v>
      </c>
      <c r="E26" s="10" t="s">
        <v>259</v>
      </c>
      <c r="F26" s="10" t="s">
        <v>330</v>
      </c>
      <c r="G26" s="5" t="s">
        <v>331</v>
      </c>
      <c r="H26" s="10" t="s">
        <v>287</v>
      </c>
      <c r="I26" s="29" t="n">
        <v>0.0025</v>
      </c>
      <c r="J26" s="11" t="n">
        <f aca="false">IFERROR(VLOOKUP(F26,工料机价格!$A$4:$F$36,6,FALSE()),0)</f>
        <v>1773.3</v>
      </c>
      <c r="K26" s="12" t="n">
        <f aca="false">I26*J26</f>
        <v>4.43325</v>
      </c>
      <c r="L26" s="10"/>
      <c r="M26" s="10"/>
      <c r="N26" s="10"/>
      <c r="O26" s="5" t="s">
        <v>332</v>
      </c>
      <c r="P26" s="10"/>
    </row>
    <row r="27" customFormat="false" ht="18" hidden="false" customHeight="false" outlineLevel="0" collapsed="false">
      <c r="A27" s="20" t="n">
        <v>5</v>
      </c>
      <c r="B27" s="20" t="s">
        <v>70</v>
      </c>
      <c r="C27" s="27" t="s">
        <v>71</v>
      </c>
      <c r="D27" s="20" t="s">
        <v>49</v>
      </c>
      <c r="E27" s="20" t="s">
        <v>261</v>
      </c>
      <c r="F27" s="20"/>
      <c r="G27" s="20"/>
      <c r="H27" s="20"/>
      <c r="I27" s="20"/>
      <c r="J27" s="20"/>
      <c r="K27" s="28" t="n">
        <f aca="false">SUM(K28:K34)</f>
        <v>11412.9</v>
      </c>
      <c r="L27" s="28" t="n">
        <f aca="false">SUMIF(E28:E34,"人工",K28:K34)</f>
        <v>4800</v>
      </c>
      <c r="M27" s="28" t="n">
        <f aca="false">SUMIF(E28:E34,"材料",K28:K34)+SUMIF(E28:E34,"外委",K28:K34)</f>
        <v>4839.6</v>
      </c>
      <c r="N27" s="28" t="n">
        <f aca="false">SUMIF(E28:E34,"机械",K28:K34)</f>
        <v>1773.3</v>
      </c>
      <c r="O27" s="27" t="s">
        <v>333</v>
      </c>
      <c r="P27" s="28" t="n">
        <f aca="false">K27</f>
        <v>11412.9</v>
      </c>
    </row>
    <row r="28" customFormat="false" ht="18" hidden="false" customHeight="false" outlineLevel="0" collapsed="false">
      <c r="A28" s="10" t="s">
        <v>334</v>
      </c>
      <c r="B28" s="10" t="s">
        <v>70</v>
      </c>
      <c r="C28" s="5" t="s">
        <v>71</v>
      </c>
      <c r="D28" s="10" t="s">
        <v>49</v>
      </c>
      <c r="E28" s="10" t="s">
        <v>257</v>
      </c>
      <c r="F28" s="10" t="s">
        <v>269</v>
      </c>
      <c r="G28" s="5" t="s">
        <v>270</v>
      </c>
      <c r="H28" s="10" t="s">
        <v>266</v>
      </c>
      <c r="I28" s="29" t="n">
        <v>16</v>
      </c>
      <c r="J28" s="11" t="n">
        <f aca="false">工料机价格!F5</f>
        <v>300</v>
      </c>
      <c r="K28" s="12" t="n">
        <f aca="false">I28*J28</f>
        <v>4800</v>
      </c>
      <c r="L28" s="10"/>
      <c r="M28" s="10"/>
      <c r="N28" s="10"/>
      <c r="O28" s="5" t="s">
        <v>335</v>
      </c>
      <c r="P28" s="10"/>
    </row>
    <row r="29" customFormat="false" ht="18" hidden="false" customHeight="false" outlineLevel="0" collapsed="false">
      <c r="A29" s="10" t="s">
        <v>336</v>
      </c>
      <c r="B29" s="10" t="s">
        <v>70</v>
      </c>
      <c r="C29" s="5" t="s">
        <v>71</v>
      </c>
      <c r="D29" s="10" t="s">
        <v>49</v>
      </c>
      <c r="E29" s="10" t="s">
        <v>257</v>
      </c>
      <c r="F29" s="10" t="s">
        <v>264</v>
      </c>
      <c r="G29" s="5" t="s">
        <v>265</v>
      </c>
      <c r="H29" s="10" t="s">
        <v>266</v>
      </c>
      <c r="I29" s="29" t="n">
        <v>0</v>
      </c>
      <c r="J29" s="11" t="n">
        <v>0</v>
      </c>
      <c r="K29" s="12" t="n">
        <f aca="false">I29*J29</f>
        <v>0</v>
      </c>
      <c r="L29" s="10"/>
      <c r="M29" s="10"/>
      <c r="N29" s="10"/>
      <c r="O29" s="5" t="s">
        <v>337</v>
      </c>
      <c r="P29" s="10"/>
    </row>
    <row r="30" customFormat="false" ht="18" hidden="false" customHeight="false" outlineLevel="0" collapsed="false">
      <c r="A30" s="10" t="s">
        <v>338</v>
      </c>
      <c r="B30" s="10" t="s">
        <v>70</v>
      </c>
      <c r="C30" s="5" t="s">
        <v>71</v>
      </c>
      <c r="D30" s="10" t="s">
        <v>49</v>
      </c>
      <c r="E30" s="10" t="s">
        <v>258</v>
      </c>
      <c r="F30" s="10" t="s">
        <v>339</v>
      </c>
      <c r="G30" s="5" t="s">
        <v>340</v>
      </c>
      <c r="H30" s="10" t="s">
        <v>49</v>
      </c>
      <c r="I30" s="29" t="n">
        <v>1</v>
      </c>
      <c r="J30" s="11" t="n">
        <f aca="false">工料机价格!F46</f>
        <v>3879.6</v>
      </c>
      <c r="K30" s="12" t="n">
        <f aca="false">I30*J30</f>
        <v>3879.6</v>
      </c>
      <c r="L30" s="10"/>
      <c r="M30" s="10"/>
      <c r="N30" s="10"/>
      <c r="O30" s="5" t="s">
        <v>341</v>
      </c>
      <c r="P30" s="10"/>
    </row>
    <row r="31" customFormat="false" ht="18" hidden="false" customHeight="false" outlineLevel="0" collapsed="false">
      <c r="A31" s="10" t="s">
        <v>342</v>
      </c>
      <c r="B31" s="10" t="s">
        <v>70</v>
      </c>
      <c r="C31" s="5" t="s">
        <v>71</v>
      </c>
      <c r="D31" s="10" t="s">
        <v>49</v>
      </c>
      <c r="E31" s="10" t="s">
        <v>258</v>
      </c>
      <c r="F31" s="10" t="s">
        <v>304</v>
      </c>
      <c r="G31" s="5" t="s">
        <v>305</v>
      </c>
      <c r="H31" s="10" t="s">
        <v>148</v>
      </c>
      <c r="I31" s="29" t="n">
        <v>0</v>
      </c>
      <c r="J31" s="11" t="n">
        <v>0</v>
      </c>
      <c r="K31" s="12" t="n">
        <f aca="false">I31*J31</f>
        <v>0</v>
      </c>
      <c r="L31" s="10"/>
      <c r="M31" s="10"/>
      <c r="N31" s="10"/>
      <c r="O31" s="5" t="s">
        <v>343</v>
      </c>
      <c r="P31" s="10"/>
    </row>
    <row r="32" customFormat="false" ht="18" hidden="false" customHeight="false" outlineLevel="0" collapsed="false">
      <c r="A32" s="10" t="s">
        <v>344</v>
      </c>
      <c r="B32" s="10" t="s">
        <v>70</v>
      </c>
      <c r="C32" s="5" t="s">
        <v>71</v>
      </c>
      <c r="D32" s="10" t="s">
        <v>49</v>
      </c>
      <c r="E32" s="10" t="s">
        <v>258</v>
      </c>
      <c r="F32" s="10" t="s">
        <v>345</v>
      </c>
      <c r="G32" s="5" t="s">
        <v>346</v>
      </c>
      <c r="H32" s="10" t="s">
        <v>78</v>
      </c>
      <c r="I32" s="29" t="n">
        <v>80</v>
      </c>
      <c r="J32" s="11" t="n">
        <f aca="false">工料机价格!F15</f>
        <v>12</v>
      </c>
      <c r="K32" s="12" t="n">
        <f aca="false">I32*J32</f>
        <v>960</v>
      </c>
      <c r="L32" s="10"/>
      <c r="M32" s="10"/>
      <c r="N32" s="10"/>
      <c r="O32" s="5" t="s">
        <v>347</v>
      </c>
      <c r="P32" s="10"/>
    </row>
    <row r="33" customFormat="false" ht="18" hidden="false" customHeight="false" outlineLevel="0" collapsed="false">
      <c r="A33" s="10" t="s">
        <v>348</v>
      </c>
      <c r="B33" s="10" t="s">
        <v>70</v>
      </c>
      <c r="C33" s="5" t="s">
        <v>71</v>
      </c>
      <c r="D33" s="10" t="s">
        <v>49</v>
      </c>
      <c r="E33" s="10" t="s">
        <v>259</v>
      </c>
      <c r="F33" s="10" t="s">
        <v>349</v>
      </c>
      <c r="G33" s="5" t="s">
        <v>350</v>
      </c>
      <c r="H33" s="10" t="s">
        <v>287</v>
      </c>
      <c r="I33" s="29" t="n">
        <v>0</v>
      </c>
      <c r="J33" s="11" t="n">
        <v>0</v>
      </c>
      <c r="K33" s="12" t="n">
        <f aca="false">I33*J33</f>
        <v>0</v>
      </c>
      <c r="L33" s="10"/>
      <c r="M33" s="10"/>
      <c r="N33" s="10"/>
      <c r="O33" s="5" t="s">
        <v>351</v>
      </c>
      <c r="P33" s="10"/>
    </row>
    <row r="34" customFormat="false" ht="18" hidden="false" customHeight="false" outlineLevel="0" collapsed="false">
      <c r="A34" s="10" t="s">
        <v>352</v>
      </c>
      <c r="B34" s="10" t="s">
        <v>70</v>
      </c>
      <c r="C34" s="5" t="s">
        <v>71</v>
      </c>
      <c r="D34" s="10" t="s">
        <v>49</v>
      </c>
      <c r="E34" s="10" t="s">
        <v>259</v>
      </c>
      <c r="F34" s="10" t="s">
        <v>330</v>
      </c>
      <c r="G34" s="5" t="s">
        <v>331</v>
      </c>
      <c r="H34" s="10" t="s">
        <v>287</v>
      </c>
      <c r="I34" s="29" t="n">
        <v>1</v>
      </c>
      <c r="J34" s="11" t="n">
        <f aca="false">工料机价格!F7</f>
        <v>1773.3</v>
      </c>
      <c r="K34" s="12" t="n">
        <f aca="false">I34*J34</f>
        <v>1773.3</v>
      </c>
      <c r="L34" s="10"/>
      <c r="M34" s="10"/>
      <c r="N34" s="10"/>
      <c r="O34" s="5" t="s">
        <v>353</v>
      </c>
      <c r="P34" s="10"/>
    </row>
    <row r="35" customFormat="false" ht="18" hidden="false" customHeight="false" outlineLevel="0" collapsed="false">
      <c r="A35" s="20" t="n">
        <v>6</v>
      </c>
      <c r="B35" s="20" t="s">
        <v>75</v>
      </c>
      <c r="C35" s="27" t="s">
        <v>76</v>
      </c>
      <c r="D35" s="20" t="s">
        <v>78</v>
      </c>
      <c r="E35" s="20" t="s">
        <v>261</v>
      </c>
      <c r="F35" s="20"/>
      <c r="G35" s="20"/>
      <c r="H35" s="20"/>
      <c r="I35" s="20"/>
      <c r="J35" s="20"/>
      <c r="K35" s="28" t="n">
        <f aca="false">SUM(K36:K41)</f>
        <v>84.00995</v>
      </c>
      <c r="L35" s="28" t="n">
        <f aca="false">SUMIF(E36:E41,"人工",K36:K41)</f>
        <v>5.9</v>
      </c>
      <c r="M35" s="28" t="n">
        <f aca="false">SUMIF(E36:E41,"材料",K36:K41)+SUMIF(E36:E41,"外委",K36:K41)</f>
        <v>75.45</v>
      </c>
      <c r="N35" s="28" t="n">
        <f aca="false">SUMIF(E36:E41,"机械",K36:K41)</f>
        <v>2.65995</v>
      </c>
      <c r="O35" s="27" t="s">
        <v>262</v>
      </c>
      <c r="P35" s="28" t="n">
        <f aca="false">K35</f>
        <v>84.00995</v>
      </c>
    </row>
    <row r="36" customFormat="false" ht="28.5" hidden="false" customHeight="true" outlineLevel="0" collapsed="false">
      <c r="A36" s="10" t="s">
        <v>354</v>
      </c>
      <c r="B36" s="10" t="s">
        <v>75</v>
      </c>
      <c r="C36" s="5" t="s">
        <v>76</v>
      </c>
      <c r="D36" s="10" t="s">
        <v>78</v>
      </c>
      <c r="E36" s="10" t="s">
        <v>257</v>
      </c>
      <c r="F36" s="10" t="s">
        <v>269</v>
      </c>
      <c r="G36" s="5" t="s">
        <v>270</v>
      </c>
      <c r="H36" s="10" t="s">
        <v>266</v>
      </c>
      <c r="I36" s="29" t="n">
        <v>0.015</v>
      </c>
      <c r="J36" s="11" t="n">
        <f aca="false">IFERROR(VLOOKUP(F36,工料机价格!$A$4:$F$36,6,FALSE()),0)</f>
        <v>300</v>
      </c>
      <c r="K36" s="12" t="n">
        <f aca="false">I36*J36</f>
        <v>4.5</v>
      </c>
      <c r="L36" s="10"/>
      <c r="M36" s="10"/>
      <c r="N36" s="10"/>
      <c r="O36" s="5" t="s">
        <v>355</v>
      </c>
      <c r="P36" s="10"/>
    </row>
    <row r="37" customFormat="false" ht="18" hidden="false" customHeight="false" outlineLevel="0" collapsed="false">
      <c r="A37" s="10" t="s">
        <v>356</v>
      </c>
      <c r="B37" s="10" t="s">
        <v>75</v>
      </c>
      <c r="C37" s="5" t="s">
        <v>76</v>
      </c>
      <c r="D37" s="10" t="s">
        <v>78</v>
      </c>
      <c r="E37" s="10" t="s">
        <v>257</v>
      </c>
      <c r="F37" s="10" t="s">
        <v>264</v>
      </c>
      <c r="G37" s="5" t="s">
        <v>265</v>
      </c>
      <c r="H37" s="10" t="s">
        <v>266</v>
      </c>
      <c r="I37" s="29" t="n">
        <v>0.004</v>
      </c>
      <c r="J37" s="11" t="n">
        <f aca="false">IFERROR(VLOOKUP(F37,工料机价格!$A$4:$F$36,6,FALSE()),0)</f>
        <v>350</v>
      </c>
      <c r="K37" s="12" t="n">
        <f aca="false">I37*J37</f>
        <v>1.4</v>
      </c>
      <c r="L37" s="10"/>
      <c r="M37" s="10"/>
      <c r="N37" s="10"/>
      <c r="O37" s="5" t="s">
        <v>357</v>
      </c>
      <c r="P37" s="10"/>
    </row>
    <row r="38" customFormat="false" ht="18" hidden="false" customHeight="false" outlineLevel="0" collapsed="false">
      <c r="A38" s="10" t="s">
        <v>358</v>
      </c>
      <c r="B38" s="10" t="s">
        <v>75</v>
      </c>
      <c r="C38" s="5" t="s">
        <v>76</v>
      </c>
      <c r="D38" s="10" t="s">
        <v>78</v>
      </c>
      <c r="E38" s="10" t="s">
        <v>258</v>
      </c>
      <c r="F38" s="10" t="s">
        <v>359</v>
      </c>
      <c r="G38" s="5" t="s">
        <v>360</v>
      </c>
      <c r="H38" s="10" t="s">
        <v>78</v>
      </c>
      <c r="I38" s="29" t="n">
        <v>2.1</v>
      </c>
      <c r="J38" s="11" t="n">
        <f aca="false">IFERROR(VLOOKUP(F38,工料机价格!$A$4:$F$36,6,FALSE()),0)</f>
        <v>5</v>
      </c>
      <c r="K38" s="12" t="n">
        <f aca="false">I38*J38</f>
        <v>10.5</v>
      </c>
      <c r="L38" s="10"/>
      <c r="M38" s="10"/>
      <c r="N38" s="10"/>
      <c r="O38" s="5" t="s">
        <v>361</v>
      </c>
      <c r="P38" s="10"/>
    </row>
    <row r="39" customFormat="false" ht="18" hidden="false" customHeight="false" outlineLevel="0" collapsed="false">
      <c r="A39" s="10" t="s">
        <v>362</v>
      </c>
      <c r="B39" s="10" t="s">
        <v>75</v>
      </c>
      <c r="C39" s="5" t="s">
        <v>76</v>
      </c>
      <c r="D39" s="10" t="s">
        <v>78</v>
      </c>
      <c r="E39" s="10" t="s">
        <v>258</v>
      </c>
      <c r="F39" s="10" t="s">
        <v>345</v>
      </c>
      <c r="G39" s="5" t="s">
        <v>346</v>
      </c>
      <c r="H39" s="10" t="s">
        <v>78</v>
      </c>
      <c r="I39" s="29" t="n">
        <v>1.1</v>
      </c>
      <c r="J39" s="11" t="n">
        <f aca="false">IFERROR(VLOOKUP(F39,工料机价格!$A$4:$F$36,6,FALSE()),0)</f>
        <v>12</v>
      </c>
      <c r="K39" s="12" t="n">
        <f aca="false">I39*J39</f>
        <v>13.2</v>
      </c>
      <c r="L39" s="10"/>
      <c r="M39" s="10"/>
      <c r="N39" s="10"/>
      <c r="O39" s="5" t="s">
        <v>363</v>
      </c>
      <c r="P39" s="10"/>
    </row>
    <row r="40" customFormat="false" ht="18" hidden="false" customHeight="false" outlineLevel="0" collapsed="false">
      <c r="A40" s="10" t="s">
        <v>364</v>
      </c>
      <c r="B40" s="10" t="s">
        <v>75</v>
      </c>
      <c r="C40" s="5" t="s">
        <v>76</v>
      </c>
      <c r="D40" s="10" t="s">
        <v>78</v>
      </c>
      <c r="E40" s="10" t="s">
        <v>258</v>
      </c>
      <c r="F40" s="10" t="s">
        <v>281</v>
      </c>
      <c r="G40" s="5" t="s">
        <v>282</v>
      </c>
      <c r="H40" s="10" t="s">
        <v>122</v>
      </c>
      <c r="I40" s="29" t="n">
        <v>0.15</v>
      </c>
      <c r="J40" s="11" t="n">
        <f aca="false">IFERROR(VLOOKUP(F40,工料机价格!$A$4:$F$36,6,FALSE()),0)</f>
        <v>345</v>
      </c>
      <c r="K40" s="12" t="n">
        <f aca="false">I40*J40</f>
        <v>51.75</v>
      </c>
      <c r="L40" s="10"/>
      <c r="M40" s="10"/>
      <c r="N40" s="10"/>
      <c r="O40" s="5" t="s">
        <v>365</v>
      </c>
      <c r="P40" s="10"/>
    </row>
    <row r="41" customFormat="false" ht="18" hidden="false" customHeight="false" outlineLevel="0" collapsed="false">
      <c r="A41" s="10" t="s">
        <v>366</v>
      </c>
      <c r="B41" s="10" t="s">
        <v>75</v>
      </c>
      <c r="C41" s="5" t="s">
        <v>76</v>
      </c>
      <c r="D41" s="10" t="s">
        <v>78</v>
      </c>
      <c r="E41" s="10" t="s">
        <v>259</v>
      </c>
      <c r="F41" s="10" t="s">
        <v>330</v>
      </c>
      <c r="G41" s="5" t="s">
        <v>331</v>
      </c>
      <c r="H41" s="10" t="s">
        <v>287</v>
      </c>
      <c r="I41" s="29" t="n">
        <v>0.0015</v>
      </c>
      <c r="J41" s="11" t="n">
        <f aca="false">IFERROR(VLOOKUP(F41,工料机价格!$A$4:$F$36,6,FALSE()),0)</f>
        <v>1773.3</v>
      </c>
      <c r="K41" s="12" t="n">
        <f aca="false">I41*J41</f>
        <v>2.65995</v>
      </c>
      <c r="L41" s="10"/>
      <c r="M41" s="10"/>
      <c r="N41" s="10"/>
      <c r="O41" s="5" t="s">
        <v>367</v>
      </c>
      <c r="P41" s="10"/>
    </row>
    <row r="42" customFormat="false" ht="18" hidden="false" customHeight="false" outlineLevel="0" collapsed="false">
      <c r="A42" s="20" t="n">
        <v>7</v>
      </c>
      <c r="B42" s="20" t="s">
        <v>81</v>
      </c>
      <c r="C42" s="27" t="s">
        <v>82</v>
      </c>
      <c r="D42" s="20" t="s">
        <v>56</v>
      </c>
      <c r="E42" s="20" t="s">
        <v>261</v>
      </c>
      <c r="F42" s="20"/>
      <c r="G42" s="20"/>
      <c r="H42" s="20"/>
      <c r="I42" s="20"/>
      <c r="J42" s="20"/>
      <c r="K42" s="28" t="n">
        <f aca="false">SUM(K43:K46)</f>
        <v>107.0959</v>
      </c>
      <c r="L42" s="28" t="n">
        <f aca="false">SUMIF(E43:E46,"人工",K43:K46)</f>
        <v>21</v>
      </c>
      <c r="M42" s="28" t="n">
        <f aca="false">SUMIF(E43:E46,"材料",K43:K46)+SUMIF(E43:E46,"外委",K43:K46)</f>
        <v>86.0959</v>
      </c>
      <c r="N42" s="28" t="n">
        <f aca="false">SUMIF(E43:E46,"机械",K43:K46)</f>
        <v>0</v>
      </c>
      <c r="O42" s="27" t="s">
        <v>262</v>
      </c>
      <c r="P42" s="28" t="n">
        <f aca="false">K42</f>
        <v>107.0959</v>
      </c>
    </row>
    <row r="43" customFormat="false" ht="18" hidden="false" customHeight="false" outlineLevel="0" collapsed="false">
      <c r="A43" s="10" t="s">
        <v>368</v>
      </c>
      <c r="B43" s="10" t="s">
        <v>81</v>
      </c>
      <c r="C43" s="5" t="s">
        <v>82</v>
      </c>
      <c r="D43" s="10" t="s">
        <v>56</v>
      </c>
      <c r="E43" s="10" t="s">
        <v>257</v>
      </c>
      <c r="F43" s="10" t="s">
        <v>269</v>
      </c>
      <c r="G43" s="5" t="s">
        <v>270</v>
      </c>
      <c r="H43" s="10" t="s">
        <v>266</v>
      </c>
      <c r="I43" s="29" t="n">
        <v>0.07</v>
      </c>
      <c r="J43" s="11" t="n">
        <f aca="false">IFERROR(VLOOKUP(F43,工料机价格!$A$4:$F$36,6,FALSE()),0)</f>
        <v>300</v>
      </c>
      <c r="K43" s="12" t="n">
        <f aca="false">I43*J43</f>
        <v>21</v>
      </c>
      <c r="L43" s="10"/>
      <c r="M43" s="10"/>
      <c r="N43" s="10"/>
      <c r="O43" s="5" t="s">
        <v>369</v>
      </c>
      <c r="P43" s="10"/>
    </row>
    <row r="44" customFormat="false" ht="18" hidden="false" customHeight="false" outlineLevel="0" collapsed="false">
      <c r="A44" s="10" t="s">
        <v>370</v>
      </c>
      <c r="B44" s="10" t="s">
        <v>81</v>
      </c>
      <c r="C44" s="5" t="s">
        <v>82</v>
      </c>
      <c r="D44" s="10" t="s">
        <v>56</v>
      </c>
      <c r="E44" s="10" t="s">
        <v>258</v>
      </c>
      <c r="F44" s="10" t="s">
        <v>371</v>
      </c>
      <c r="G44" s="5" t="s">
        <v>372</v>
      </c>
      <c r="H44" s="10" t="s">
        <v>78</v>
      </c>
      <c r="I44" s="29" t="n">
        <v>2</v>
      </c>
      <c r="J44" s="11" t="n">
        <f aca="false">IFERROR(VLOOKUP(F44,工料机价格!$A$4:$F$36,6,FALSE()),0)</f>
        <v>32</v>
      </c>
      <c r="K44" s="12" t="n">
        <f aca="false">I44*J44</f>
        <v>64</v>
      </c>
      <c r="L44" s="10"/>
      <c r="M44" s="10"/>
      <c r="N44" s="10"/>
      <c r="O44" s="5" t="s">
        <v>373</v>
      </c>
      <c r="P44" s="10"/>
    </row>
    <row r="45" customFormat="false" ht="18" hidden="false" customHeight="false" outlineLevel="0" collapsed="false">
      <c r="A45" s="10" t="s">
        <v>374</v>
      </c>
      <c r="B45" s="10" t="s">
        <v>81</v>
      </c>
      <c r="C45" s="5" t="s">
        <v>82</v>
      </c>
      <c r="D45" s="10" t="s">
        <v>56</v>
      </c>
      <c r="E45" s="10" t="s">
        <v>258</v>
      </c>
      <c r="F45" s="10" t="s">
        <v>281</v>
      </c>
      <c r="G45" s="5" t="s">
        <v>282</v>
      </c>
      <c r="H45" s="10" t="s">
        <v>122</v>
      </c>
      <c r="I45" s="29" t="n">
        <v>0.02</v>
      </c>
      <c r="J45" s="11" t="n">
        <f aca="false">IFERROR(VLOOKUP(F45,工料机价格!$A$4:$F$36,6,FALSE()),0)</f>
        <v>345</v>
      </c>
      <c r="K45" s="12" t="n">
        <f aca="false">I45*J45</f>
        <v>6.9</v>
      </c>
      <c r="L45" s="10"/>
      <c r="M45" s="10"/>
      <c r="N45" s="10"/>
      <c r="O45" s="5" t="s">
        <v>375</v>
      </c>
      <c r="P45" s="10"/>
    </row>
    <row r="46" customFormat="false" ht="28.5" hidden="false" customHeight="true" outlineLevel="0" collapsed="false">
      <c r="A46" s="10" t="s">
        <v>376</v>
      </c>
      <c r="B46" s="10" t="s">
        <v>81</v>
      </c>
      <c r="C46" s="5" t="s">
        <v>82</v>
      </c>
      <c r="D46" s="10" t="s">
        <v>56</v>
      </c>
      <c r="E46" s="10" t="s">
        <v>258</v>
      </c>
      <c r="F46" s="10" t="s">
        <v>304</v>
      </c>
      <c r="G46" s="5" t="s">
        <v>305</v>
      </c>
      <c r="H46" s="10" t="s">
        <v>148</v>
      </c>
      <c r="I46" s="29" t="n">
        <v>0.005</v>
      </c>
      <c r="J46" s="11" t="n">
        <f aca="false">IFERROR(VLOOKUP(F46,工料机价格!$A$4:$F$36,6,FALSE()),0)</f>
        <v>3039.18</v>
      </c>
      <c r="K46" s="12" t="n">
        <f aca="false">I46*J46</f>
        <v>15.1959</v>
      </c>
      <c r="L46" s="10"/>
      <c r="M46" s="10"/>
      <c r="N46" s="10"/>
      <c r="O46" s="5" t="s">
        <v>377</v>
      </c>
      <c r="P46" s="10"/>
    </row>
    <row r="47" customFormat="false" ht="18" hidden="false" customHeight="false" outlineLevel="0" collapsed="false">
      <c r="A47" s="20" t="n">
        <v>8</v>
      </c>
      <c r="B47" s="20" t="s">
        <v>86</v>
      </c>
      <c r="C47" s="27" t="s">
        <v>87</v>
      </c>
      <c r="D47" s="20" t="s">
        <v>78</v>
      </c>
      <c r="E47" s="20" t="s">
        <v>261</v>
      </c>
      <c r="F47" s="20"/>
      <c r="G47" s="20"/>
      <c r="H47" s="20"/>
      <c r="I47" s="20"/>
      <c r="J47" s="20"/>
      <c r="K47" s="28" t="n">
        <f aca="false">SUM(K48:K49)</f>
        <v>3.525</v>
      </c>
      <c r="L47" s="28" t="n">
        <f aca="false">SUMIF(E48:E49,"人工",K48:K49)</f>
        <v>0.9</v>
      </c>
      <c r="M47" s="28" t="n">
        <f aca="false">SUMIF(E48:E49,"材料",K48:K49)+SUMIF(E48:E49,"外委",K48:K49)</f>
        <v>2.625</v>
      </c>
      <c r="N47" s="28" t="n">
        <f aca="false">SUMIF(E48:E49,"机械",K48:K49)</f>
        <v>0</v>
      </c>
      <c r="O47" s="27" t="s">
        <v>262</v>
      </c>
      <c r="P47" s="28" t="n">
        <f aca="false">K47</f>
        <v>3.525</v>
      </c>
    </row>
    <row r="48" customFormat="false" ht="18" hidden="false" customHeight="false" outlineLevel="0" collapsed="false">
      <c r="A48" s="10" t="s">
        <v>378</v>
      </c>
      <c r="B48" s="10" t="s">
        <v>86</v>
      </c>
      <c r="C48" s="5" t="s">
        <v>87</v>
      </c>
      <c r="D48" s="10" t="s">
        <v>78</v>
      </c>
      <c r="E48" s="10" t="s">
        <v>257</v>
      </c>
      <c r="F48" s="10" t="s">
        <v>269</v>
      </c>
      <c r="G48" s="5" t="s">
        <v>270</v>
      </c>
      <c r="H48" s="10" t="s">
        <v>266</v>
      </c>
      <c r="I48" s="29" t="n">
        <v>0.003</v>
      </c>
      <c r="J48" s="11" t="n">
        <f aca="false">IFERROR(VLOOKUP(F48,工料机价格!$A$4:$F$36,6,FALSE()),0)</f>
        <v>300</v>
      </c>
      <c r="K48" s="12" t="n">
        <f aca="false">I48*J48</f>
        <v>0.9</v>
      </c>
      <c r="L48" s="10"/>
      <c r="M48" s="10"/>
      <c r="N48" s="10"/>
      <c r="O48" s="5" t="s">
        <v>379</v>
      </c>
      <c r="P48" s="10"/>
    </row>
    <row r="49" customFormat="false" ht="18" hidden="false" customHeight="false" outlineLevel="0" collapsed="false">
      <c r="A49" s="10" t="s">
        <v>380</v>
      </c>
      <c r="B49" s="10" t="s">
        <v>86</v>
      </c>
      <c r="C49" s="5" t="s">
        <v>87</v>
      </c>
      <c r="D49" s="10" t="s">
        <v>78</v>
      </c>
      <c r="E49" s="10" t="s">
        <v>258</v>
      </c>
      <c r="F49" s="10" t="s">
        <v>381</v>
      </c>
      <c r="G49" s="5" t="s">
        <v>382</v>
      </c>
      <c r="H49" s="10" t="s">
        <v>78</v>
      </c>
      <c r="I49" s="29" t="n">
        <v>1.05</v>
      </c>
      <c r="J49" s="11" t="n">
        <f aca="false">IFERROR(VLOOKUP(F49,工料机价格!$A$4:$F$36,6,FALSE()),0)</f>
        <v>2.5</v>
      </c>
      <c r="K49" s="12" t="n">
        <f aca="false">I49*J49</f>
        <v>2.625</v>
      </c>
      <c r="L49" s="10"/>
      <c r="M49" s="10"/>
      <c r="N49" s="10"/>
      <c r="O49" s="5" t="s">
        <v>383</v>
      </c>
      <c r="P49" s="10"/>
    </row>
    <row r="50" customFormat="false" ht="18" hidden="false" customHeight="false" outlineLevel="0" collapsed="false">
      <c r="A50" s="20" t="n">
        <v>9</v>
      </c>
      <c r="B50" s="20" t="s">
        <v>91</v>
      </c>
      <c r="C50" s="27" t="s">
        <v>92</v>
      </c>
      <c r="D50" s="20" t="s">
        <v>78</v>
      </c>
      <c r="E50" s="20" t="s">
        <v>261</v>
      </c>
      <c r="F50" s="20"/>
      <c r="G50" s="20"/>
      <c r="H50" s="20"/>
      <c r="I50" s="20"/>
      <c r="J50" s="20"/>
      <c r="K50" s="28" t="n">
        <f aca="false">SUM(K51:K55)</f>
        <v>480.5918</v>
      </c>
      <c r="L50" s="28" t="n">
        <f aca="false">SUMIF(E51:E55,"人工",K51:K55)</f>
        <v>43</v>
      </c>
      <c r="M50" s="28" t="n">
        <f aca="false">SUMIF(E51:E55,"材料",K51:K55)+SUMIF(E51:E55,"外委",K51:K55)</f>
        <v>430.5</v>
      </c>
      <c r="N50" s="28" t="n">
        <f aca="false">SUMIF(E51:E55,"机械",K51:K55)</f>
        <v>7.0918</v>
      </c>
      <c r="O50" s="27" t="s">
        <v>262</v>
      </c>
      <c r="P50" s="28" t="n">
        <f aca="false">K50</f>
        <v>480.5918</v>
      </c>
    </row>
    <row r="51" customFormat="false" ht="18" hidden="false" customHeight="false" outlineLevel="0" collapsed="false">
      <c r="A51" s="10" t="s">
        <v>384</v>
      </c>
      <c r="B51" s="10" t="s">
        <v>91</v>
      </c>
      <c r="C51" s="5" t="s">
        <v>92</v>
      </c>
      <c r="D51" s="10" t="s">
        <v>78</v>
      </c>
      <c r="E51" s="10" t="s">
        <v>257</v>
      </c>
      <c r="F51" s="10" t="s">
        <v>269</v>
      </c>
      <c r="G51" s="5" t="s">
        <v>270</v>
      </c>
      <c r="H51" s="10" t="s">
        <v>266</v>
      </c>
      <c r="I51" s="29" t="n">
        <v>0.12</v>
      </c>
      <c r="J51" s="11" t="n">
        <f aca="false">IFERROR(VLOOKUP(F51,工料机价格!$A$4:$F$36,6,FALSE()),0)</f>
        <v>300</v>
      </c>
      <c r="K51" s="12" t="n">
        <f aca="false">I51*J51</f>
        <v>36</v>
      </c>
      <c r="L51" s="10"/>
      <c r="M51" s="10"/>
      <c r="N51" s="10"/>
      <c r="O51" s="5" t="s">
        <v>385</v>
      </c>
      <c r="P51" s="10"/>
    </row>
    <row r="52" customFormat="false" ht="18" hidden="false" customHeight="false" outlineLevel="0" collapsed="false">
      <c r="A52" s="10" t="s">
        <v>386</v>
      </c>
      <c r="B52" s="10" t="s">
        <v>91</v>
      </c>
      <c r="C52" s="5" t="s">
        <v>92</v>
      </c>
      <c r="D52" s="10" t="s">
        <v>78</v>
      </c>
      <c r="E52" s="10" t="s">
        <v>257</v>
      </c>
      <c r="F52" s="10" t="s">
        <v>264</v>
      </c>
      <c r="G52" s="5" t="s">
        <v>265</v>
      </c>
      <c r="H52" s="10" t="s">
        <v>266</v>
      </c>
      <c r="I52" s="29" t="n">
        <v>0.02</v>
      </c>
      <c r="J52" s="11" t="n">
        <f aca="false">IFERROR(VLOOKUP(F52,工料机价格!$A$4:$F$36,6,FALSE()),0)</f>
        <v>350</v>
      </c>
      <c r="K52" s="12" t="n">
        <f aca="false">I52*J52</f>
        <v>7</v>
      </c>
      <c r="L52" s="10"/>
      <c r="M52" s="10"/>
      <c r="N52" s="10"/>
      <c r="O52" s="5" t="s">
        <v>387</v>
      </c>
      <c r="P52" s="10"/>
    </row>
    <row r="53" customFormat="false" ht="18" hidden="false" customHeight="false" outlineLevel="0" collapsed="false">
      <c r="A53" s="10" t="s">
        <v>388</v>
      </c>
      <c r="B53" s="10" t="s">
        <v>91</v>
      </c>
      <c r="C53" s="5" t="s">
        <v>92</v>
      </c>
      <c r="D53" s="10" t="s">
        <v>78</v>
      </c>
      <c r="E53" s="10" t="s">
        <v>258</v>
      </c>
      <c r="F53" s="10" t="s">
        <v>389</v>
      </c>
      <c r="G53" s="5" t="s">
        <v>390</v>
      </c>
      <c r="H53" s="10" t="s">
        <v>78</v>
      </c>
      <c r="I53" s="29" t="n">
        <v>2.2</v>
      </c>
      <c r="J53" s="11" t="n">
        <f aca="false">IFERROR(VLOOKUP(F53,工料机价格!$A$4:$F$41,6,FALSE()),0)</f>
        <v>180</v>
      </c>
      <c r="K53" s="12" t="n">
        <f aca="false">I53*J53</f>
        <v>396</v>
      </c>
      <c r="L53" s="10"/>
      <c r="M53" s="10"/>
      <c r="N53" s="10"/>
      <c r="O53" s="5" t="s">
        <v>391</v>
      </c>
      <c r="P53" s="10"/>
    </row>
    <row r="54" customFormat="false" ht="18" hidden="false" customHeight="false" outlineLevel="0" collapsed="false">
      <c r="A54" s="10" t="s">
        <v>392</v>
      </c>
      <c r="B54" s="10" t="s">
        <v>91</v>
      </c>
      <c r="C54" s="5" t="s">
        <v>92</v>
      </c>
      <c r="D54" s="10" t="s">
        <v>78</v>
      </c>
      <c r="E54" s="10" t="s">
        <v>258</v>
      </c>
      <c r="F54" s="10" t="s">
        <v>281</v>
      </c>
      <c r="G54" s="5" t="s">
        <v>282</v>
      </c>
      <c r="H54" s="10" t="s">
        <v>122</v>
      </c>
      <c r="I54" s="29" t="n">
        <v>0.1</v>
      </c>
      <c r="J54" s="11" t="n">
        <f aca="false">IFERROR(VLOOKUP(F54,工料机价格!$A$4:$F$36,6,FALSE()),0)</f>
        <v>345</v>
      </c>
      <c r="K54" s="12" t="n">
        <f aca="false">I54*J54</f>
        <v>34.5</v>
      </c>
      <c r="L54" s="10"/>
      <c r="M54" s="10"/>
      <c r="N54" s="10"/>
      <c r="O54" s="5" t="s">
        <v>393</v>
      </c>
      <c r="P54" s="10"/>
    </row>
    <row r="55" customFormat="false" ht="18" hidden="false" customHeight="false" outlineLevel="0" collapsed="false">
      <c r="A55" s="10" t="s">
        <v>394</v>
      </c>
      <c r="B55" s="10" t="s">
        <v>91</v>
      </c>
      <c r="C55" s="5" t="s">
        <v>92</v>
      </c>
      <c r="D55" s="10" t="s">
        <v>78</v>
      </c>
      <c r="E55" s="10" t="s">
        <v>259</v>
      </c>
      <c r="F55" s="10" t="s">
        <v>349</v>
      </c>
      <c r="G55" s="5" t="s">
        <v>350</v>
      </c>
      <c r="H55" s="10" t="s">
        <v>287</v>
      </c>
      <c r="I55" s="29" t="n">
        <v>0.004</v>
      </c>
      <c r="J55" s="11" t="n">
        <f aca="false">IFERROR(VLOOKUP(F55,工料机价格!$A$4:$F$36,6,FALSE()),0)</f>
        <v>1772.95</v>
      </c>
      <c r="K55" s="12" t="n">
        <f aca="false">I55*J55</f>
        <v>7.0918</v>
      </c>
      <c r="L55" s="10"/>
      <c r="M55" s="10"/>
      <c r="N55" s="10"/>
      <c r="O55" s="5" t="s">
        <v>395</v>
      </c>
      <c r="P55" s="10"/>
    </row>
    <row r="56" customFormat="false" ht="18" hidden="false" customHeight="false" outlineLevel="0" collapsed="false">
      <c r="A56" s="20" t="n">
        <v>10</v>
      </c>
      <c r="B56" s="20" t="s">
        <v>96</v>
      </c>
      <c r="C56" s="27" t="s">
        <v>97</v>
      </c>
      <c r="D56" s="20" t="s">
        <v>78</v>
      </c>
      <c r="E56" s="20" t="s">
        <v>261</v>
      </c>
      <c r="F56" s="20"/>
      <c r="G56" s="20"/>
      <c r="H56" s="20"/>
      <c r="I56" s="20"/>
      <c r="J56" s="20"/>
      <c r="K56" s="28" t="n">
        <f aca="false">SUM(K57:K62)</f>
        <v>106.4377</v>
      </c>
      <c r="L56" s="28" t="n">
        <f aca="false">SUMIF(E57:E62,"人工",K57:K62)</f>
        <v>18</v>
      </c>
      <c r="M56" s="28" t="n">
        <f aca="false">SUMIF(E57:E62,"材料",K57:K62)+SUMIF(E57:E62,"外委",K57:K62)</f>
        <v>77.8</v>
      </c>
      <c r="N56" s="28" t="n">
        <f aca="false">SUMIF(E57:E62,"机械",K57:K62)</f>
        <v>10.6377</v>
      </c>
      <c r="O56" s="27" t="s">
        <v>396</v>
      </c>
      <c r="P56" s="28" t="n">
        <f aca="false">K56</f>
        <v>106.4377</v>
      </c>
    </row>
    <row r="57" customFormat="false" ht="18" hidden="false" customHeight="false" outlineLevel="0" collapsed="false">
      <c r="A57" s="10" t="s">
        <v>397</v>
      </c>
      <c r="B57" s="10" t="s">
        <v>96</v>
      </c>
      <c r="C57" s="5" t="s">
        <v>97</v>
      </c>
      <c r="D57" s="10" t="s">
        <v>78</v>
      </c>
      <c r="E57" s="10" t="s">
        <v>257</v>
      </c>
      <c r="F57" s="10" t="s">
        <v>269</v>
      </c>
      <c r="G57" s="5" t="s">
        <v>270</v>
      </c>
      <c r="H57" s="10" t="s">
        <v>266</v>
      </c>
      <c r="I57" s="29" t="n">
        <v>0.06</v>
      </c>
      <c r="J57" s="11" t="n">
        <f aca="false">IFERROR(VLOOKUP(F57,工料机价格!$A$4:$F$36,6,FALSE()),0)</f>
        <v>300</v>
      </c>
      <c r="K57" s="12" t="n">
        <f aca="false">I57*J57</f>
        <v>18</v>
      </c>
      <c r="L57" s="10"/>
      <c r="M57" s="10"/>
      <c r="N57" s="10"/>
      <c r="O57" s="5" t="s">
        <v>398</v>
      </c>
      <c r="P57" s="10"/>
    </row>
    <row r="58" customFormat="false" ht="18" hidden="false" customHeight="false" outlineLevel="0" collapsed="false">
      <c r="A58" s="10" t="s">
        <v>399</v>
      </c>
      <c r="B58" s="10" t="s">
        <v>96</v>
      </c>
      <c r="C58" s="5" t="s">
        <v>97</v>
      </c>
      <c r="D58" s="10" t="s">
        <v>78</v>
      </c>
      <c r="E58" s="10" t="s">
        <v>257</v>
      </c>
      <c r="F58" s="10" t="s">
        <v>264</v>
      </c>
      <c r="G58" s="5" t="s">
        <v>265</v>
      </c>
      <c r="H58" s="10" t="s">
        <v>266</v>
      </c>
      <c r="I58" s="29" t="n">
        <v>0</v>
      </c>
      <c r="J58" s="11" t="n">
        <f aca="false">IFERROR(VLOOKUP(F58,工料机价格!$A$4:$F$36,6,FALSE()),0)</f>
        <v>350</v>
      </c>
      <c r="K58" s="12" t="n">
        <f aca="false">I58*J58</f>
        <v>0</v>
      </c>
      <c r="L58" s="10"/>
      <c r="M58" s="10"/>
      <c r="N58" s="10"/>
      <c r="O58" s="5" t="s">
        <v>400</v>
      </c>
      <c r="P58" s="10"/>
    </row>
    <row r="59" customFormat="false" ht="28.5" hidden="false" customHeight="true" outlineLevel="0" collapsed="false">
      <c r="A59" s="10" t="s">
        <v>401</v>
      </c>
      <c r="B59" s="10" t="s">
        <v>96</v>
      </c>
      <c r="C59" s="5" t="s">
        <v>97</v>
      </c>
      <c r="D59" s="10" t="s">
        <v>78</v>
      </c>
      <c r="E59" s="10" t="s">
        <v>258</v>
      </c>
      <c r="F59" s="10" t="s">
        <v>371</v>
      </c>
      <c r="G59" s="5" t="s">
        <v>372</v>
      </c>
      <c r="H59" s="10" t="s">
        <v>78</v>
      </c>
      <c r="I59" s="29" t="n">
        <v>1.15</v>
      </c>
      <c r="J59" s="11" t="n">
        <f aca="false">工料机价格!F21</f>
        <v>32</v>
      </c>
      <c r="K59" s="12" t="n">
        <f aca="false">I59*J59</f>
        <v>36.8</v>
      </c>
      <c r="L59" s="10"/>
      <c r="M59" s="10"/>
      <c r="N59" s="10"/>
      <c r="O59" s="5" t="s">
        <v>402</v>
      </c>
      <c r="P59" s="10"/>
    </row>
    <row r="60" customFormat="false" ht="18" hidden="false" customHeight="false" outlineLevel="0" collapsed="false">
      <c r="A60" s="10" t="s">
        <v>403</v>
      </c>
      <c r="B60" s="10" t="s">
        <v>96</v>
      </c>
      <c r="C60" s="5" t="s">
        <v>97</v>
      </c>
      <c r="D60" s="10" t="s">
        <v>78</v>
      </c>
      <c r="E60" s="10" t="s">
        <v>258</v>
      </c>
      <c r="F60" s="10" t="s">
        <v>404</v>
      </c>
      <c r="G60" s="5" t="s">
        <v>405</v>
      </c>
      <c r="H60" s="10" t="s">
        <v>148</v>
      </c>
      <c r="I60" s="29" t="n">
        <v>0.008</v>
      </c>
      <c r="J60" s="11" t="n">
        <f aca="false">工料机价格!F45</f>
        <v>3400</v>
      </c>
      <c r="K60" s="12" t="n">
        <f aca="false">I60*J60</f>
        <v>27.2</v>
      </c>
      <c r="L60" s="10"/>
      <c r="M60" s="10"/>
      <c r="N60" s="10"/>
      <c r="O60" s="5" t="s">
        <v>406</v>
      </c>
      <c r="P60" s="10"/>
    </row>
    <row r="61" customFormat="false" ht="18" hidden="false" customHeight="false" outlineLevel="0" collapsed="false">
      <c r="A61" s="10" t="s">
        <v>407</v>
      </c>
      <c r="B61" s="10" t="s">
        <v>96</v>
      </c>
      <c r="C61" s="5" t="s">
        <v>97</v>
      </c>
      <c r="D61" s="10" t="s">
        <v>78</v>
      </c>
      <c r="E61" s="10" t="s">
        <v>258</v>
      </c>
      <c r="F61" s="10" t="s">
        <v>281</v>
      </c>
      <c r="G61" s="5" t="s">
        <v>282</v>
      </c>
      <c r="H61" s="10" t="s">
        <v>122</v>
      </c>
      <c r="I61" s="29" t="n">
        <v>0.04</v>
      </c>
      <c r="J61" s="11" t="n">
        <f aca="false">IFERROR(VLOOKUP(F61,工料机价格!$A$4:$F$36,6,FALSE()),0)</f>
        <v>345</v>
      </c>
      <c r="K61" s="12" t="n">
        <f aca="false">I61*J61</f>
        <v>13.8</v>
      </c>
      <c r="L61" s="10"/>
      <c r="M61" s="10"/>
      <c r="N61" s="10"/>
      <c r="O61" s="5" t="s">
        <v>408</v>
      </c>
      <c r="P61" s="10"/>
    </row>
    <row r="62" customFormat="false" ht="18" hidden="false" customHeight="false" outlineLevel="0" collapsed="false">
      <c r="A62" s="10" t="s">
        <v>409</v>
      </c>
      <c r="B62" s="10" t="s">
        <v>96</v>
      </c>
      <c r="C62" s="5" t="s">
        <v>97</v>
      </c>
      <c r="D62" s="10" t="s">
        <v>78</v>
      </c>
      <c r="E62" s="10" t="s">
        <v>259</v>
      </c>
      <c r="F62" s="10" t="s">
        <v>349</v>
      </c>
      <c r="G62" s="5" t="s">
        <v>350</v>
      </c>
      <c r="H62" s="10" t="s">
        <v>287</v>
      </c>
      <c r="I62" s="29" t="n">
        <v>0.006</v>
      </c>
      <c r="J62" s="11" t="n">
        <f aca="false">IFERROR(VLOOKUP(F62,工料机价格!$A$4:$F$36,6,FALSE()),0)</f>
        <v>1772.95</v>
      </c>
      <c r="K62" s="12" t="n">
        <f aca="false">I62*J62</f>
        <v>10.6377</v>
      </c>
      <c r="L62" s="10"/>
      <c r="M62" s="10"/>
      <c r="N62" s="10"/>
      <c r="O62" s="5" t="s">
        <v>395</v>
      </c>
      <c r="P62" s="10"/>
    </row>
    <row r="63" customFormat="false" ht="18" hidden="false" customHeight="false" outlineLevel="0" collapsed="false">
      <c r="A63" s="20" t="n">
        <v>11</v>
      </c>
      <c r="B63" s="20" t="s">
        <v>107</v>
      </c>
      <c r="C63" s="27" t="s">
        <v>108</v>
      </c>
      <c r="D63" s="20" t="s">
        <v>78</v>
      </c>
      <c r="E63" s="20" t="s">
        <v>261</v>
      </c>
      <c r="F63" s="20"/>
      <c r="G63" s="20"/>
      <c r="H63" s="20"/>
      <c r="I63" s="20"/>
      <c r="J63" s="20"/>
      <c r="K63" s="28" t="n">
        <f aca="false">SUM(K64:K69)</f>
        <v>85.1803</v>
      </c>
      <c r="L63" s="28" t="n">
        <f aca="false">SUMIF(E64:E69,"人工",K64:K69)</f>
        <v>0</v>
      </c>
      <c r="M63" s="28" t="n">
        <f aca="false">SUMIF(E64:E69,"材料",K64:K69)+SUMIF(E64:E69,"外委",K64:K69)</f>
        <v>44.7</v>
      </c>
      <c r="N63" s="28" t="n">
        <f aca="false">SUMIF(E64:E69,"机械",K64:K69)</f>
        <v>40.4803</v>
      </c>
      <c r="O63" s="27" t="s">
        <v>262</v>
      </c>
      <c r="P63" s="28" t="n">
        <f aca="false">K63</f>
        <v>85.1803</v>
      </c>
    </row>
    <row r="64" customFormat="false" ht="18" hidden="false" customHeight="false" outlineLevel="0" collapsed="false">
      <c r="A64" s="10" t="s">
        <v>410</v>
      </c>
      <c r="B64" s="10" t="s">
        <v>107</v>
      </c>
      <c r="C64" s="5" t="s">
        <v>108</v>
      </c>
      <c r="D64" s="10" t="s">
        <v>78</v>
      </c>
      <c r="E64" s="10" t="s">
        <v>258</v>
      </c>
      <c r="F64" s="10" t="s">
        <v>411</v>
      </c>
      <c r="G64" s="5" t="s">
        <v>412</v>
      </c>
      <c r="H64" s="10" t="s">
        <v>413</v>
      </c>
      <c r="I64" s="29" t="n">
        <v>0.225</v>
      </c>
      <c r="J64" s="11" t="n">
        <f aca="false">IFERROR(VLOOKUP(F64,工料机价格!$A$4:$F$36,6,FALSE()),0)</f>
        <v>180</v>
      </c>
      <c r="K64" s="12" t="n">
        <f aca="false">I64*J64</f>
        <v>40.5</v>
      </c>
      <c r="L64" s="10"/>
      <c r="M64" s="10"/>
      <c r="N64" s="10"/>
      <c r="O64" s="5" t="s">
        <v>414</v>
      </c>
      <c r="P64" s="10"/>
    </row>
    <row r="65" customFormat="false" ht="18" hidden="false" customHeight="false" outlineLevel="0" collapsed="false">
      <c r="A65" s="10" t="s">
        <v>415</v>
      </c>
      <c r="B65" s="10" t="s">
        <v>107</v>
      </c>
      <c r="C65" s="5" t="s">
        <v>108</v>
      </c>
      <c r="D65" s="10" t="s">
        <v>78</v>
      </c>
      <c r="E65" s="10" t="s">
        <v>259</v>
      </c>
      <c r="F65" s="10" t="s">
        <v>349</v>
      </c>
      <c r="G65" s="5" t="s">
        <v>350</v>
      </c>
      <c r="H65" s="10" t="s">
        <v>287</v>
      </c>
      <c r="I65" s="29" t="n">
        <v>0.014</v>
      </c>
      <c r="J65" s="11" t="n">
        <f aca="false">IFERROR(VLOOKUP(F65,工料机价格!$A$4:$F$36,6,FALSE()),0)</f>
        <v>1772.95</v>
      </c>
      <c r="K65" s="12" t="n">
        <f aca="false">I65*J65</f>
        <v>24.8213</v>
      </c>
      <c r="L65" s="10"/>
      <c r="M65" s="10"/>
      <c r="N65" s="10"/>
      <c r="O65" s="5" t="s">
        <v>416</v>
      </c>
      <c r="P65" s="10"/>
    </row>
    <row r="66" customFormat="false" ht="18" hidden="false" customHeight="false" outlineLevel="0" collapsed="false">
      <c r="A66" s="10" t="s">
        <v>417</v>
      </c>
      <c r="B66" s="10" t="s">
        <v>107</v>
      </c>
      <c r="C66" s="5" t="s">
        <v>108</v>
      </c>
      <c r="D66" s="10" t="s">
        <v>78</v>
      </c>
      <c r="E66" s="10" t="s">
        <v>259</v>
      </c>
      <c r="F66" s="10" t="s">
        <v>418</v>
      </c>
      <c r="G66" s="5" t="s">
        <v>419</v>
      </c>
      <c r="H66" s="10" t="s">
        <v>287</v>
      </c>
      <c r="I66" s="29" t="n">
        <v>0.014</v>
      </c>
      <c r="J66" s="11" t="n">
        <f aca="false">IFERROR(VLOOKUP(F66,工料机价格!$A$4:$F$36,6,FALSE()),0)</f>
        <v>1118.5</v>
      </c>
      <c r="K66" s="12" t="n">
        <f aca="false">I66*J66</f>
        <v>15.659</v>
      </c>
      <c r="L66" s="10"/>
      <c r="M66" s="10"/>
      <c r="N66" s="10"/>
      <c r="O66" s="5" t="s">
        <v>420</v>
      </c>
      <c r="P66" s="10"/>
    </row>
    <row r="67" customFormat="false" ht="18" hidden="false" customHeight="false" outlineLevel="0" collapsed="false">
      <c r="A67" s="10" t="s">
        <v>421</v>
      </c>
      <c r="B67" s="10" t="s">
        <v>107</v>
      </c>
      <c r="C67" s="5" t="s">
        <v>108</v>
      </c>
      <c r="D67" s="10" t="s">
        <v>78</v>
      </c>
      <c r="E67" s="10" t="s">
        <v>257</v>
      </c>
      <c r="F67" s="10" t="s">
        <v>264</v>
      </c>
      <c r="G67" s="5" t="s">
        <v>265</v>
      </c>
      <c r="H67" s="10" t="s">
        <v>266</v>
      </c>
      <c r="I67" s="29" t="n">
        <v>0</v>
      </c>
      <c r="J67" s="11" t="n">
        <f aca="false">IFERROR(VLOOKUP(F67,工料机价格!$A$4:$F$36,6,FALSE()),0)</f>
        <v>350</v>
      </c>
      <c r="K67" s="12" t="n">
        <f aca="false">I67*J67</f>
        <v>0</v>
      </c>
      <c r="L67" s="10"/>
      <c r="M67" s="10"/>
      <c r="N67" s="10"/>
      <c r="O67" s="5" t="s">
        <v>422</v>
      </c>
      <c r="P67" s="10"/>
    </row>
    <row r="68" customFormat="false" ht="18" hidden="false" customHeight="false" outlineLevel="0" collapsed="false">
      <c r="A68" s="10" t="s">
        <v>423</v>
      </c>
      <c r="B68" s="10" t="s">
        <v>107</v>
      </c>
      <c r="C68" s="5" t="s">
        <v>108</v>
      </c>
      <c r="D68" s="10" t="s">
        <v>78</v>
      </c>
      <c r="E68" s="10" t="s">
        <v>257</v>
      </c>
      <c r="F68" s="10" t="s">
        <v>269</v>
      </c>
      <c r="G68" s="5" t="s">
        <v>270</v>
      </c>
      <c r="H68" s="10" t="s">
        <v>266</v>
      </c>
      <c r="I68" s="29" t="n">
        <v>0</v>
      </c>
      <c r="J68" s="11" t="n">
        <f aca="false">IFERROR(VLOOKUP(F68,工料机价格!$A$4:$F$36,6,FALSE()),0)</f>
        <v>300</v>
      </c>
      <c r="K68" s="12" t="n">
        <f aca="false">I68*J68</f>
        <v>0</v>
      </c>
      <c r="L68" s="10"/>
      <c r="M68" s="10"/>
      <c r="N68" s="10"/>
      <c r="O68" s="5" t="s">
        <v>424</v>
      </c>
      <c r="P68" s="10"/>
    </row>
    <row r="69" customFormat="false" ht="18" hidden="false" customHeight="false" outlineLevel="0" collapsed="false">
      <c r="A69" s="10" t="s">
        <v>425</v>
      </c>
      <c r="B69" s="10" t="s">
        <v>107</v>
      </c>
      <c r="C69" s="5" t="s">
        <v>108</v>
      </c>
      <c r="D69" s="10" t="s">
        <v>78</v>
      </c>
      <c r="E69" s="10" t="s">
        <v>258</v>
      </c>
      <c r="F69" s="10" t="s">
        <v>426</v>
      </c>
      <c r="G69" s="5" t="s">
        <v>427</v>
      </c>
      <c r="H69" s="10" t="s">
        <v>413</v>
      </c>
      <c r="I69" s="29" t="n">
        <v>0.06</v>
      </c>
      <c r="J69" s="11" t="n">
        <f aca="false">工料机价格!F49</f>
        <v>70</v>
      </c>
      <c r="K69" s="12" t="n">
        <f aca="false">I69*J69</f>
        <v>4.2</v>
      </c>
      <c r="L69" s="10"/>
      <c r="M69" s="10"/>
      <c r="N69" s="10"/>
      <c r="O69" s="5" t="s">
        <v>428</v>
      </c>
      <c r="P69" s="10"/>
    </row>
    <row r="70" customFormat="false" ht="18" hidden="false" customHeight="false" outlineLevel="0" collapsed="false">
      <c r="A70" s="20" t="n">
        <v>12</v>
      </c>
      <c r="B70" s="20" t="s">
        <v>112</v>
      </c>
      <c r="C70" s="27" t="s">
        <v>113</v>
      </c>
      <c r="D70" s="20" t="s">
        <v>115</v>
      </c>
      <c r="E70" s="20" t="s">
        <v>261</v>
      </c>
      <c r="F70" s="20"/>
      <c r="G70" s="20"/>
      <c r="H70" s="20"/>
      <c r="I70" s="20"/>
      <c r="J70" s="20"/>
      <c r="K70" s="28" t="n">
        <f aca="false">SUM(K71:K77)</f>
        <v>6579</v>
      </c>
      <c r="L70" s="28" t="n">
        <f aca="false">SUMIF(E71:E77,"人工",K71:K77)</f>
        <v>600</v>
      </c>
      <c r="M70" s="28" t="n">
        <f aca="false">SUMIF(E71:E77,"材料",K71:K77)+SUMIF(E71:E77,"外委",K71:K77)</f>
        <v>1185.9</v>
      </c>
      <c r="N70" s="28" t="n">
        <f aca="false">SUMIF(E71:E77,"机械",K71:K77)</f>
        <v>4793.1</v>
      </c>
      <c r="O70" s="27" t="s">
        <v>262</v>
      </c>
      <c r="P70" s="28" t="n">
        <f aca="false">K70</f>
        <v>6579</v>
      </c>
    </row>
    <row r="71" customFormat="false" ht="18" hidden="false" customHeight="false" outlineLevel="0" collapsed="false">
      <c r="A71" s="10" t="s">
        <v>429</v>
      </c>
      <c r="B71" s="10" t="s">
        <v>112</v>
      </c>
      <c r="C71" s="5" t="s">
        <v>113</v>
      </c>
      <c r="D71" s="10" t="s">
        <v>115</v>
      </c>
      <c r="E71" s="10" t="s">
        <v>259</v>
      </c>
      <c r="F71" s="10" t="s">
        <v>430</v>
      </c>
      <c r="G71" s="5" t="s">
        <v>431</v>
      </c>
      <c r="H71" s="10" t="s">
        <v>287</v>
      </c>
      <c r="I71" s="29" t="n">
        <v>0.5</v>
      </c>
      <c r="J71" s="11" t="n">
        <f aca="false">IFERROR(VLOOKUP(F71,工料机价格!$A$4:$F$41,6,FALSE()),0)</f>
        <v>3182.2</v>
      </c>
      <c r="K71" s="12" t="n">
        <f aca="false">I71*J71</f>
        <v>1591.1</v>
      </c>
      <c r="L71" s="10"/>
      <c r="M71" s="10"/>
      <c r="N71" s="10"/>
      <c r="O71" s="5" t="s">
        <v>432</v>
      </c>
      <c r="P71" s="10"/>
    </row>
    <row r="72" customFormat="false" ht="18" hidden="false" customHeight="false" outlineLevel="0" collapsed="false">
      <c r="A72" s="10" t="s">
        <v>433</v>
      </c>
      <c r="B72" s="10" t="s">
        <v>112</v>
      </c>
      <c r="C72" s="5" t="s">
        <v>113</v>
      </c>
      <c r="D72" s="10" t="s">
        <v>115</v>
      </c>
      <c r="E72" s="10" t="s">
        <v>258</v>
      </c>
      <c r="F72" s="10" t="s">
        <v>434</v>
      </c>
      <c r="G72" s="5" t="s">
        <v>435</v>
      </c>
      <c r="H72" s="10" t="s">
        <v>56</v>
      </c>
      <c r="I72" s="29" t="n">
        <v>12</v>
      </c>
      <c r="J72" s="11" t="n">
        <f aca="false">IFERROR(VLOOKUP(F72,工料机价格!$A$4:$F$36,6,FALSE()),0)</f>
        <v>85</v>
      </c>
      <c r="K72" s="12" t="n">
        <f aca="false">I72*J72</f>
        <v>1020</v>
      </c>
      <c r="L72" s="10"/>
      <c r="M72" s="10"/>
      <c r="N72" s="10"/>
      <c r="O72" s="5" t="s">
        <v>436</v>
      </c>
      <c r="P72" s="10"/>
    </row>
    <row r="73" customFormat="false" ht="18" hidden="false" customHeight="false" outlineLevel="0" collapsed="false">
      <c r="A73" s="10" t="s">
        <v>437</v>
      </c>
      <c r="B73" s="10" t="s">
        <v>112</v>
      </c>
      <c r="C73" s="5" t="s">
        <v>113</v>
      </c>
      <c r="D73" s="10" t="s">
        <v>115</v>
      </c>
      <c r="E73" s="10" t="s">
        <v>258</v>
      </c>
      <c r="F73" s="10" t="s">
        <v>277</v>
      </c>
      <c r="G73" s="5" t="s">
        <v>278</v>
      </c>
      <c r="H73" s="10" t="s">
        <v>122</v>
      </c>
      <c r="I73" s="29" t="n">
        <v>0.8</v>
      </c>
      <c r="J73" s="11" t="n">
        <f aca="false">IFERROR(VLOOKUP(F73,工料机价格!$A$4:$F$36,6,FALSE()),0)</f>
        <v>78</v>
      </c>
      <c r="K73" s="12" t="n">
        <f aca="false">I73*J73</f>
        <v>62.4</v>
      </c>
      <c r="L73" s="10"/>
      <c r="M73" s="10"/>
      <c r="N73" s="10"/>
      <c r="O73" s="5" t="s">
        <v>438</v>
      </c>
      <c r="P73" s="10"/>
    </row>
    <row r="74" customFormat="false" ht="18" hidden="false" customHeight="false" outlineLevel="0" collapsed="false">
      <c r="A74" s="10" t="s">
        <v>439</v>
      </c>
      <c r="B74" s="10" t="s">
        <v>112</v>
      </c>
      <c r="C74" s="5" t="s">
        <v>113</v>
      </c>
      <c r="D74" s="10" t="s">
        <v>115</v>
      </c>
      <c r="E74" s="10" t="s">
        <v>258</v>
      </c>
      <c r="F74" s="10" t="s">
        <v>281</v>
      </c>
      <c r="G74" s="5" t="s">
        <v>282</v>
      </c>
      <c r="H74" s="10" t="s">
        <v>122</v>
      </c>
      <c r="I74" s="29" t="n">
        <v>0.3</v>
      </c>
      <c r="J74" s="11" t="n">
        <f aca="false">IFERROR(VLOOKUP(F74,工料机价格!$A$4:$F$36,6,FALSE()),0)</f>
        <v>345</v>
      </c>
      <c r="K74" s="12" t="n">
        <f aca="false">I74*J74</f>
        <v>103.5</v>
      </c>
      <c r="L74" s="10"/>
      <c r="M74" s="10"/>
      <c r="N74" s="10"/>
      <c r="O74" s="5" t="s">
        <v>440</v>
      </c>
      <c r="P74" s="10"/>
    </row>
    <row r="75" customFormat="false" ht="18" hidden="false" customHeight="false" outlineLevel="0" collapsed="false">
      <c r="A75" s="10" t="s">
        <v>441</v>
      </c>
      <c r="B75" s="10" t="s">
        <v>112</v>
      </c>
      <c r="C75" s="5" t="s">
        <v>113</v>
      </c>
      <c r="D75" s="10" t="s">
        <v>115</v>
      </c>
      <c r="E75" s="10" t="s">
        <v>259</v>
      </c>
      <c r="F75" s="10" t="s">
        <v>442</v>
      </c>
      <c r="G75" s="5" t="s">
        <v>443</v>
      </c>
      <c r="H75" s="10" t="s">
        <v>287</v>
      </c>
      <c r="I75" s="29" t="n">
        <v>40</v>
      </c>
      <c r="J75" s="11" t="n">
        <f aca="false">IFERROR(VLOOKUP(F75,工料机价格!$A$4:$F$36,6,FALSE()),0)</f>
        <v>80.05</v>
      </c>
      <c r="K75" s="12" t="n">
        <f aca="false">I75*J75</f>
        <v>3202</v>
      </c>
      <c r="L75" s="10"/>
      <c r="M75" s="10"/>
      <c r="N75" s="10"/>
      <c r="O75" s="5" t="s">
        <v>444</v>
      </c>
      <c r="P75" s="10"/>
    </row>
    <row r="76" customFormat="false" ht="18" hidden="false" customHeight="false" outlineLevel="0" collapsed="false">
      <c r="A76" s="10" t="s">
        <v>445</v>
      </c>
      <c r="B76" s="10" t="s">
        <v>112</v>
      </c>
      <c r="C76" s="5" t="s">
        <v>113</v>
      </c>
      <c r="D76" s="10" t="s">
        <v>115</v>
      </c>
      <c r="E76" s="10" t="s">
        <v>257</v>
      </c>
      <c r="F76" s="10" t="s">
        <v>269</v>
      </c>
      <c r="G76" s="5" t="s">
        <v>270</v>
      </c>
      <c r="H76" s="10" t="s">
        <v>266</v>
      </c>
      <c r="I76" s="29" t="n">
        <v>2</v>
      </c>
      <c r="J76" s="11" t="n">
        <f aca="false">IFERROR(VLOOKUP(F76,工料机价格!$A$4:$F$36,6,FALSE()),0)</f>
        <v>300</v>
      </c>
      <c r="K76" s="12" t="n">
        <f aca="false">I76*J76</f>
        <v>600</v>
      </c>
      <c r="L76" s="10"/>
      <c r="M76" s="10"/>
      <c r="N76" s="10"/>
      <c r="O76" s="5" t="s">
        <v>446</v>
      </c>
      <c r="P76" s="10"/>
    </row>
    <row r="77" customFormat="false" ht="18" hidden="false" customHeight="false" outlineLevel="0" collapsed="false">
      <c r="A77" s="10" t="s">
        <v>447</v>
      </c>
      <c r="B77" s="10" t="s">
        <v>112</v>
      </c>
      <c r="C77" s="5" t="s">
        <v>113</v>
      </c>
      <c r="D77" s="10" t="s">
        <v>115</v>
      </c>
      <c r="E77" s="10" t="s">
        <v>257</v>
      </c>
      <c r="F77" s="10" t="s">
        <v>264</v>
      </c>
      <c r="G77" s="5" t="s">
        <v>265</v>
      </c>
      <c r="H77" s="10" t="s">
        <v>266</v>
      </c>
      <c r="I77" s="29" t="n">
        <v>0</v>
      </c>
      <c r="J77" s="11" t="n">
        <f aca="false">IFERROR(VLOOKUP(F77,工料机价格!$A$4:$F$36,6,FALSE()),0)</f>
        <v>350</v>
      </c>
      <c r="K77" s="12" t="n">
        <f aca="false">I77*J77</f>
        <v>0</v>
      </c>
      <c r="L77" s="10"/>
      <c r="M77" s="10"/>
      <c r="N77" s="10"/>
      <c r="O77" s="5" t="s">
        <v>448</v>
      </c>
      <c r="P77" s="10"/>
    </row>
    <row r="78" customFormat="false" ht="18" hidden="false" customHeight="false" outlineLevel="0" collapsed="false">
      <c r="A78" s="20" t="n">
        <v>13</v>
      </c>
      <c r="B78" s="20" t="s">
        <v>119</v>
      </c>
      <c r="C78" s="27" t="s">
        <v>120</v>
      </c>
      <c r="D78" s="20" t="s">
        <v>122</v>
      </c>
      <c r="E78" s="20" t="s">
        <v>261</v>
      </c>
      <c r="F78" s="20"/>
      <c r="G78" s="20"/>
      <c r="H78" s="20"/>
      <c r="I78" s="20"/>
      <c r="J78" s="20"/>
      <c r="K78" s="28" t="n">
        <f aca="false">SUM(K79:K81)</f>
        <v>13.34043</v>
      </c>
      <c r="L78" s="28" t="n">
        <f aca="false">SUMIF(E79:E81,"人工",K79:K81)</f>
        <v>0</v>
      </c>
      <c r="M78" s="28" t="n">
        <f aca="false">SUMIF(E79:E81,"材料",K79:K81)+SUMIF(E79:E81,"外委",K79:K81)</f>
        <v>0</v>
      </c>
      <c r="N78" s="28" t="n">
        <f aca="false">SUMIF(E79:E81,"机械",K79:K81)</f>
        <v>13.34043</v>
      </c>
      <c r="O78" s="27" t="s">
        <v>262</v>
      </c>
      <c r="P78" s="28" t="n">
        <f aca="false">K78</f>
        <v>13.34043</v>
      </c>
    </row>
    <row r="79" customFormat="false" ht="18" hidden="false" customHeight="false" outlineLevel="0" collapsed="false">
      <c r="A79" s="10" t="s">
        <v>449</v>
      </c>
      <c r="B79" s="10" t="s">
        <v>119</v>
      </c>
      <c r="C79" s="5" t="s">
        <v>120</v>
      </c>
      <c r="D79" s="10" t="s">
        <v>122</v>
      </c>
      <c r="E79" s="10" t="s">
        <v>259</v>
      </c>
      <c r="F79" s="10" t="s">
        <v>330</v>
      </c>
      <c r="G79" s="5" t="s">
        <v>331</v>
      </c>
      <c r="H79" s="10" t="s">
        <v>287</v>
      </c>
      <c r="I79" s="29" t="n">
        <v>0.0056</v>
      </c>
      <c r="J79" s="11" t="n">
        <f aca="false">IFERROR(VLOOKUP(F79,工料机价格!$A$4:$F$36,6,FALSE()),0)</f>
        <v>1773.3</v>
      </c>
      <c r="K79" s="12" t="n">
        <f aca="false">I79*J79</f>
        <v>9.93048</v>
      </c>
      <c r="L79" s="10"/>
      <c r="M79" s="10"/>
      <c r="N79" s="10"/>
      <c r="O79" s="5" t="s">
        <v>450</v>
      </c>
      <c r="P79" s="10"/>
    </row>
    <row r="80" customFormat="false" ht="25.35" hidden="false" customHeight="false" outlineLevel="0" collapsed="false">
      <c r="A80" s="10" t="s">
        <v>451</v>
      </c>
      <c r="B80" s="10" t="s">
        <v>119</v>
      </c>
      <c r="C80" s="5" t="s">
        <v>120</v>
      </c>
      <c r="D80" s="10" t="s">
        <v>122</v>
      </c>
      <c r="E80" s="10" t="s">
        <v>259</v>
      </c>
      <c r="F80" s="10" t="s">
        <v>452</v>
      </c>
      <c r="G80" s="5" t="s">
        <v>453</v>
      </c>
      <c r="H80" s="10" t="s">
        <v>287</v>
      </c>
      <c r="I80" s="29" t="n">
        <v>0.003</v>
      </c>
      <c r="J80" s="11" t="n">
        <f aca="false">IFERROR(VLOOKUP(F80,工料机价格!$A$4:$F$36,6,FALSE()),0)</f>
        <v>1136.65</v>
      </c>
      <c r="K80" s="12" t="n">
        <f aca="false">I80*J80</f>
        <v>3.40995</v>
      </c>
      <c r="L80" s="10"/>
      <c r="M80" s="10"/>
      <c r="N80" s="10"/>
      <c r="O80" s="5" t="s">
        <v>454</v>
      </c>
      <c r="P80" s="10"/>
    </row>
    <row r="81" customFormat="false" ht="18" hidden="false" customHeight="false" outlineLevel="0" collapsed="false">
      <c r="A81" s="10" t="s">
        <v>455</v>
      </c>
      <c r="B81" s="10" t="s">
        <v>119</v>
      </c>
      <c r="C81" s="5" t="s">
        <v>120</v>
      </c>
      <c r="D81" s="10" t="s">
        <v>122</v>
      </c>
      <c r="E81" s="10" t="s">
        <v>257</v>
      </c>
      <c r="F81" s="10" t="s">
        <v>269</v>
      </c>
      <c r="G81" s="5" t="s">
        <v>270</v>
      </c>
      <c r="H81" s="10" t="s">
        <v>266</v>
      </c>
      <c r="I81" s="29" t="n">
        <v>0</v>
      </c>
      <c r="J81" s="11" t="n">
        <f aca="false">IFERROR(VLOOKUP(F81,工料机价格!$A$4:$F$36,6,FALSE()),0)</f>
        <v>300</v>
      </c>
      <c r="K81" s="12" t="n">
        <f aca="false">I81*J81</f>
        <v>0</v>
      </c>
      <c r="L81" s="10"/>
      <c r="M81" s="10"/>
      <c r="N81" s="10"/>
      <c r="O81" s="5" t="s">
        <v>456</v>
      </c>
      <c r="P81" s="10"/>
    </row>
    <row r="82" customFormat="false" ht="28.5" hidden="false" customHeight="true" outlineLevel="0" collapsed="false">
      <c r="A82" s="20" t="n">
        <v>14</v>
      </c>
      <c r="B82" s="20" t="s">
        <v>125</v>
      </c>
      <c r="C82" s="27" t="s">
        <v>126</v>
      </c>
      <c r="D82" s="20" t="s">
        <v>122</v>
      </c>
      <c r="E82" s="20" t="s">
        <v>261</v>
      </c>
      <c r="F82" s="20"/>
      <c r="G82" s="20"/>
      <c r="H82" s="20"/>
      <c r="I82" s="20"/>
      <c r="J82" s="20"/>
      <c r="K82" s="28" t="n">
        <f aca="false">SUM(K83:K85)</f>
        <v>73.675</v>
      </c>
      <c r="L82" s="28" t="n">
        <f aca="false">SUMIF(E83:E85,"人工",K83:K85)</f>
        <v>23.0769230769231</v>
      </c>
      <c r="M82" s="28" t="n">
        <f aca="false">SUMIF(E83:E85,"材料",K83:K85)+SUMIF(E83:E85,"外委",K83:K85)</f>
        <v>5.12884615384615</v>
      </c>
      <c r="N82" s="28" t="n">
        <f aca="false">SUMIF(E83:E85,"机械",K83:K85)</f>
        <v>45.4692307692308</v>
      </c>
      <c r="O82" s="27" t="s">
        <v>457</v>
      </c>
      <c r="P82" s="28" t="n">
        <f aca="false">K82</f>
        <v>73.675</v>
      </c>
    </row>
    <row r="83" customFormat="false" ht="18" hidden="false" customHeight="false" outlineLevel="0" collapsed="false">
      <c r="A83" s="10" t="s">
        <v>458</v>
      </c>
      <c r="B83" s="10" t="s">
        <v>125</v>
      </c>
      <c r="C83" s="5" t="s">
        <v>126</v>
      </c>
      <c r="D83" s="10" t="s">
        <v>122</v>
      </c>
      <c r="E83" s="10" t="s">
        <v>259</v>
      </c>
      <c r="F83" s="10" t="s">
        <v>330</v>
      </c>
      <c r="G83" s="5" t="s">
        <v>331</v>
      </c>
      <c r="H83" s="10" t="s">
        <v>287</v>
      </c>
      <c r="I83" s="30" t="n">
        <f aca="false">1/工程量计算!C5</f>
        <v>0.0256410256410256</v>
      </c>
      <c r="J83" s="11" t="n">
        <f aca="false">工料机价格!F7</f>
        <v>1773.3</v>
      </c>
      <c r="K83" s="12" t="n">
        <f aca="false">I83*J83</f>
        <v>45.4692307692308</v>
      </c>
      <c r="L83" s="10"/>
      <c r="M83" s="10"/>
      <c r="N83" s="10"/>
      <c r="O83" s="5" t="s">
        <v>459</v>
      </c>
      <c r="P83" s="10"/>
    </row>
    <row r="84" customFormat="false" ht="25.35" hidden="false" customHeight="false" outlineLevel="0" collapsed="false">
      <c r="A84" s="10" t="s">
        <v>460</v>
      </c>
      <c r="B84" s="10" t="s">
        <v>125</v>
      </c>
      <c r="C84" s="5" t="s">
        <v>126</v>
      </c>
      <c r="D84" s="10" t="s">
        <v>122</v>
      </c>
      <c r="E84" s="10" t="s">
        <v>257</v>
      </c>
      <c r="F84" s="10" t="s">
        <v>269</v>
      </c>
      <c r="G84" s="5" t="s">
        <v>270</v>
      </c>
      <c r="H84" s="10" t="s">
        <v>266</v>
      </c>
      <c r="I84" s="30" t="n">
        <f aca="false">3/工程量计算!C5</f>
        <v>0.0769230769230769</v>
      </c>
      <c r="J84" s="11" t="n">
        <f aca="false">工料机价格!F5</f>
        <v>300</v>
      </c>
      <c r="K84" s="12" t="n">
        <f aca="false">I84*J84</f>
        <v>23.0769230769231</v>
      </c>
      <c r="L84" s="10"/>
      <c r="M84" s="10"/>
      <c r="N84" s="10"/>
      <c r="O84" s="5" t="s">
        <v>461</v>
      </c>
      <c r="P84" s="10"/>
    </row>
    <row r="85" customFormat="false" ht="18" hidden="false" customHeight="false" outlineLevel="0" collapsed="false">
      <c r="A85" s="10" t="s">
        <v>462</v>
      </c>
      <c r="B85" s="10" t="s">
        <v>125</v>
      </c>
      <c r="C85" s="5" t="s">
        <v>126</v>
      </c>
      <c r="D85" s="10" t="s">
        <v>122</v>
      </c>
      <c r="E85" s="10" t="s">
        <v>258</v>
      </c>
      <c r="F85" s="10" t="s">
        <v>463</v>
      </c>
      <c r="G85" s="5" t="s">
        <v>464</v>
      </c>
      <c r="H85" s="10" t="s">
        <v>49</v>
      </c>
      <c r="I85" s="30" t="n">
        <f aca="false">1/工程量计算!C5</f>
        <v>0.0256410256410256</v>
      </c>
      <c r="J85" s="11" t="n">
        <f aca="false">工料机价格!F48</f>
        <v>200.025</v>
      </c>
      <c r="K85" s="12" t="n">
        <f aca="false">I85*J85</f>
        <v>5.12884615384615</v>
      </c>
      <c r="L85" s="10"/>
      <c r="M85" s="10"/>
      <c r="N85" s="10"/>
      <c r="O85" s="5" t="s">
        <v>465</v>
      </c>
      <c r="P85" s="10"/>
    </row>
    <row r="86" customFormat="false" ht="18" hidden="false" customHeight="false" outlineLevel="0" collapsed="false">
      <c r="A86" s="20" t="n">
        <v>15</v>
      </c>
      <c r="B86" s="20" t="s">
        <v>130</v>
      </c>
      <c r="C86" s="27" t="s">
        <v>131</v>
      </c>
      <c r="D86" s="20" t="s">
        <v>122</v>
      </c>
      <c r="E86" s="20" t="s">
        <v>261</v>
      </c>
      <c r="F86" s="20"/>
      <c r="G86" s="20"/>
      <c r="H86" s="20"/>
      <c r="I86" s="20"/>
      <c r="J86" s="20"/>
      <c r="K86" s="28" t="n">
        <f aca="false">SUM(K87:K90)</f>
        <v>21.1108974358974</v>
      </c>
      <c r="L86" s="28" t="n">
        <f aca="false">SUMIF(E87:E90,"人工",K87:K90)</f>
        <v>15.3846153846154</v>
      </c>
      <c r="M86" s="28" t="n">
        <f aca="false">SUMIF(E87:E90,"材料",K87:K90)+SUMIF(E87:E90,"外委",K87:K90)</f>
        <v>4.7</v>
      </c>
      <c r="N86" s="28" t="n">
        <f aca="false">SUMIF(E87:E90,"机械",K87:K90)</f>
        <v>1.02628205128205</v>
      </c>
      <c r="O86" s="27" t="s">
        <v>466</v>
      </c>
      <c r="P86" s="28" t="n">
        <f aca="false">K86</f>
        <v>21.1108974358974</v>
      </c>
    </row>
    <row r="87" customFormat="false" ht="18" hidden="false" customHeight="false" outlineLevel="0" collapsed="false">
      <c r="A87" s="10" t="s">
        <v>467</v>
      </c>
      <c r="B87" s="10" t="s">
        <v>130</v>
      </c>
      <c r="C87" s="5" t="s">
        <v>131</v>
      </c>
      <c r="D87" s="10" t="s">
        <v>122</v>
      </c>
      <c r="E87" s="10" t="s">
        <v>258</v>
      </c>
      <c r="F87" s="10" t="s">
        <v>468</v>
      </c>
      <c r="G87" s="5" t="s">
        <v>469</v>
      </c>
      <c r="H87" s="10" t="s">
        <v>148</v>
      </c>
      <c r="I87" s="29" t="n">
        <v>0.003</v>
      </c>
      <c r="J87" s="11" t="n">
        <f aca="false">IFERROR(VLOOKUP(F87,工料机价格!$A$4:$F$36,6,FALSE()),0)</f>
        <v>1100</v>
      </c>
      <c r="K87" s="12" t="n">
        <f aca="false">I87*J87</f>
        <v>3.3</v>
      </c>
      <c r="L87" s="10"/>
      <c r="M87" s="10"/>
      <c r="N87" s="10"/>
      <c r="O87" s="5" t="s">
        <v>470</v>
      </c>
      <c r="P87" s="10"/>
    </row>
    <row r="88" customFormat="false" ht="18" hidden="false" customHeight="false" outlineLevel="0" collapsed="false">
      <c r="A88" s="10" t="s">
        <v>471</v>
      </c>
      <c r="B88" s="10" t="s">
        <v>130</v>
      </c>
      <c r="C88" s="5" t="s">
        <v>131</v>
      </c>
      <c r="D88" s="10" t="s">
        <v>122</v>
      </c>
      <c r="E88" s="10" t="s">
        <v>258</v>
      </c>
      <c r="F88" s="10" t="s">
        <v>472</v>
      </c>
      <c r="G88" s="5" t="s">
        <v>473</v>
      </c>
      <c r="H88" s="10" t="s">
        <v>148</v>
      </c>
      <c r="I88" s="29" t="n">
        <v>0.0002</v>
      </c>
      <c r="J88" s="11" t="n">
        <f aca="false">IFERROR(VLOOKUP(F88,工料机价格!$A$4:$F$36,6,FALSE()),0)</f>
        <v>7000</v>
      </c>
      <c r="K88" s="12" t="n">
        <f aca="false">I88*J88</f>
        <v>1.4</v>
      </c>
      <c r="L88" s="10"/>
      <c r="M88" s="10"/>
      <c r="N88" s="10"/>
      <c r="O88" s="5" t="s">
        <v>474</v>
      </c>
      <c r="P88" s="10"/>
    </row>
    <row r="89" customFormat="false" ht="28.5" hidden="false" customHeight="true" outlineLevel="0" collapsed="false">
      <c r="A89" s="10" t="s">
        <v>475</v>
      </c>
      <c r="B89" s="10" t="s">
        <v>130</v>
      </c>
      <c r="C89" s="5" t="s">
        <v>131</v>
      </c>
      <c r="D89" s="10" t="s">
        <v>122</v>
      </c>
      <c r="E89" s="10" t="s">
        <v>257</v>
      </c>
      <c r="F89" s="10" t="s">
        <v>269</v>
      </c>
      <c r="G89" s="5" t="s">
        <v>270</v>
      </c>
      <c r="H89" s="10" t="s">
        <v>266</v>
      </c>
      <c r="I89" s="30" t="n">
        <f aca="false">2/工程量计算!C5</f>
        <v>0.0512820512820513</v>
      </c>
      <c r="J89" s="11" t="n">
        <f aca="false">IFERROR(VLOOKUP(F89,工料机价格!$A$4:$F$36,6,FALSE()),0)</f>
        <v>300</v>
      </c>
      <c r="K89" s="12" t="n">
        <f aca="false">I89*J89</f>
        <v>15.3846153846154</v>
      </c>
      <c r="L89" s="10"/>
      <c r="M89" s="10"/>
      <c r="N89" s="10"/>
      <c r="O89" s="5" t="s">
        <v>476</v>
      </c>
      <c r="P89" s="10"/>
    </row>
    <row r="90" customFormat="false" ht="18" hidden="false" customHeight="false" outlineLevel="0" collapsed="false">
      <c r="A90" s="10" t="s">
        <v>477</v>
      </c>
      <c r="B90" s="10" t="s">
        <v>130</v>
      </c>
      <c r="C90" s="5" t="s">
        <v>131</v>
      </c>
      <c r="D90" s="10" t="s">
        <v>122</v>
      </c>
      <c r="E90" s="10" t="s">
        <v>259</v>
      </c>
      <c r="F90" s="10" t="s">
        <v>442</v>
      </c>
      <c r="G90" s="5" t="s">
        <v>443</v>
      </c>
      <c r="H90" s="10" t="s">
        <v>287</v>
      </c>
      <c r="I90" s="30" t="n">
        <f aca="false">0.5/工程量计算!C5</f>
        <v>0.0128205128205128</v>
      </c>
      <c r="J90" s="11" t="n">
        <f aca="false">IFERROR(VLOOKUP(F90,工料机价格!$A$4:$F$36,6,FALSE()),0)</f>
        <v>80.05</v>
      </c>
      <c r="K90" s="12" t="n">
        <f aca="false">I90*J90</f>
        <v>1.02628205128205</v>
      </c>
      <c r="L90" s="10"/>
      <c r="M90" s="10"/>
      <c r="N90" s="10"/>
      <c r="O90" s="5" t="s">
        <v>478</v>
      </c>
      <c r="P90" s="10"/>
    </row>
    <row r="91" customFormat="false" ht="18" hidden="false" customHeight="false" outlineLevel="0" collapsed="false">
      <c r="A91" s="20" t="n">
        <v>16</v>
      </c>
      <c r="B91" s="20" t="s">
        <v>134</v>
      </c>
      <c r="C91" s="27" t="s">
        <v>135</v>
      </c>
      <c r="D91" s="20" t="s">
        <v>122</v>
      </c>
      <c r="E91" s="20" t="s">
        <v>261</v>
      </c>
      <c r="F91" s="20"/>
      <c r="G91" s="20"/>
      <c r="H91" s="20"/>
      <c r="I91" s="20"/>
      <c r="J91" s="20"/>
      <c r="K91" s="28" t="n">
        <f aca="false">SUM(K92:K94)</f>
        <v>9.19355</v>
      </c>
      <c r="L91" s="28" t="n">
        <f aca="false">SUMIF(E92:E94,"人工",K92:K94)</f>
        <v>0</v>
      </c>
      <c r="M91" s="28" t="n">
        <f aca="false">SUMIF(E92:E94,"材料",K92:K94)+SUMIF(E92:E94,"外委",K92:K94)</f>
        <v>0</v>
      </c>
      <c r="N91" s="28" t="n">
        <f aca="false">SUMIF(E92:E94,"机械",K92:K94)</f>
        <v>9.19355</v>
      </c>
      <c r="O91" s="27" t="s">
        <v>262</v>
      </c>
      <c r="P91" s="28" t="n">
        <f aca="false">K91</f>
        <v>9.19355</v>
      </c>
    </row>
    <row r="92" customFormat="false" ht="18" hidden="false" customHeight="false" outlineLevel="0" collapsed="false">
      <c r="A92" s="10" t="s">
        <v>479</v>
      </c>
      <c r="B92" s="10" t="s">
        <v>134</v>
      </c>
      <c r="C92" s="5" t="s">
        <v>135</v>
      </c>
      <c r="D92" s="10" t="s">
        <v>122</v>
      </c>
      <c r="E92" s="10" t="s">
        <v>259</v>
      </c>
      <c r="F92" s="10" t="s">
        <v>285</v>
      </c>
      <c r="G92" s="5" t="s">
        <v>286</v>
      </c>
      <c r="H92" s="10" t="s">
        <v>287</v>
      </c>
      <c r="I92" s="29" t="n">
        <v>0.004</v>
      </c>
      <c r="J92" s="11" t="n">
        <f aca="false">IFERROR(VLOOKUP(F92,工料机价格!$A$4:$F$36,6,FALSE()),0)</f>
        <v>1445.9</v>
      </c>
      <c r="K92" s="12" t="n">
        <f aca="false">I92*J92</f>
        <v>5.7836</v>
      </c>
      <c r="L92" s="10"/>
      <c r="M92" s="10"/>
      <c r="N92" s="10"/>
      <c r="O92" s="5" t="s">
        <v>480</v>
      </c>
      <c r="P92" s="10"/>
    </row>
    <row r="93" customFormat="false" ht="18" hidden="false" customHeight="false" outlineLevel="0" collapsed="false">
      <c r="A93" s="10" t="s">
        <v>481</v>
      </c>
      <c r="B93" s="10" t="s">
        <v>134</v>
      </c>
      <c r="C93" s="5" t="s">
        <v>135</v>
      </c>
      <c r="D93" s="10" t="s">
        <v>122</v>
      </c>
      <c r="E93" s="10" t="s">
        <v>259</v>
      </c>
      <c r="F93" s="10" t="s">
        <v>452</v>
      </c>
      <c r="G93" s="5" t="s">
        <v>453</v>
      </c>
      <c r="H93" s="10" t="s">
        <v>287</v>
      </c>
      <c r="I93" s="29" t="n">
        <v>0.003</v>
      </c>
      <c r="J93" s="11" t="n">
        <f aca="false">IFERROR(VLOOKUP(F93,工料机价格!$A$4:$F$36,6,FALSE()),0)</f>
        <v>1136.65</v>
      </c>
      <c r="K93" s="12" t="n">
        <f aca="false">I93*J93</f>
        <v>3.40995</v>
      </c>
      <c r="L93" s="10"/>
      <c r="M93" s="10"/>
      <c r="N93" s="10"/>
      <c r="O93" s="5" t="s">
        <v>482</v>
      </c>
      <c r="P93" s="10"/>
    </row>
    <row r="94" customFormat="false" ht="18" hidden="false" customHeight="false" outlineLevel="0" collapsed="false">
      <c r="A94" s="10" t="s">
        <v>483</v>
      </c>
      <c r="B94" s="10" t="s">
        <v>134</v>
      </c>
      <c r="C94" s="5" t="s">
        <v>135</v>
      </c>
      <c r="D94" s="10" t="s">
        <v>122</v>
      </c>
      <c r="E94" s="10" t="s">
        <v>257</v>
      </c>
      <c r="F94" s="10" t="s">
        <v>269</v>
      </c>
      <c r="G94" s="5" t="s">
        <v>270</v>
      </c>
      <c r="H94" s="10" t="s">
        <v>266</v>
      </c>
      <c r="I94" s="29" t="n">
        <v>0</v>
      </c>
      <c r="J94" s="11" t="n">
        <f aca="false">IFERROR(VLOOKUP(F94,工料机价格!$A$4:$F$36,6,FALSE()),0)</f>
        <v>300</v>
      </c>
      <c r="K94" s="12" t="n">
        <f aca="false">I94*J94</f>
        <v>0</v>
      </c>
      <c r="L94" s="10"/>
      <c r="M94" s="10"/>
      <c r="N94" s="10"/>
      <c r="O94" s="5" t="s">
        <v>484</v>
      </c>
      <c r="P94" s="10"/>
    </row>
    <row r="95" customFormat="false" ht="18" hidden="false" customHeight="false" outlineLevel="0" collapsed="false">
      <c r="A95" s="20" t="n">
        <v>17</v>
      </c>
      <c r="B95" s="20" t="s">
        <v>139</v>
      </c>
      <c r="C95" s="27" t="s">
        <v>140</v>
      </c>
      <c r="D95" s="20" t="s">
        <v>122</v>
      </c>
      <c r="E95" s="20" t="s">
        <v>261</v>
      </c>
      <c r="F95" s="20"/>
      <c r="G95" s="20"/>
      <c r="H95" s="20"/>
      <c r="I95" s="20"/>
      <c r="J95" s="20"/>
      <c r="K95" s="28" t="n">
        <f aca="false">SUM(K96:K99)</f>
        <v>20.40164</v>
      </c>
      <c r="L95" s="28" t="n">
        <f aca="false">SUMIF(E96:E99,"人工",K96:K99)</f>
        <v>0</v>
      </c>
      <c r="M95" s="28" t="n">
        <f aca="false">SUMIF(E96:E99,"材料",K96:K99)+SUMIF(E96:E99,"外委",K96:K99)</f>
        <v>0</v>
      </c>
      <c r="N95" s="28" t="n">
        <f aca="false">SUMIF(E96:E99,"机械",K96:K99)</f>
        <v>20.40164</v>
      </c>
      <c r="O95" s="27" t="s">
        <v>262</v>
      </c>
      <c r="P95" s="28" t="n">
        <f aca="false">K95</f>
        <v>20.40164</v>
      </c>
    </row>
    <row r="96" customFormat="false" ht="18" hidden="false" customHeight="false" outlineLevel="0" collapsed="false">
      <c r="A96" s="10" t="s">
        <v>485</v>
      </c>
      <c r="B96" s="10" t="s">
        <v>139</v>
      </c>
      <c r="C96" s="5" t="s">
        <v>140</v>
      </c>
      <c r="D96" s="10" t="s">
        <v>122</v>
      </c>
      <c r="E96" s="10" t="s">
        <v>259</v>
      </c>
      <c r="F96" s="10" t="s">
        <v>330</v>
      </c>
      <c r="G96" s="5" t="s">
        <v>331</v>
      </c>
      <c r="H96" s="10" t="s">
        <v>287</v>
      </c>
      <c r="I96" s="29" t="n">
        <v>0.0083</v>
      </c>
      <c r="J96" s="11" t="n">
        <f aca="false">IFERROR(VLOOKUP(F96,工料机价格!$A$4:$F$36,6,FALSE()),0)</f>
        <v>1773.3</v>
      </c>
      <c r="K96" s="12" t="n">
        <f aca="false">I96*J96</f>
        <v>14.71839</v>
      </c>
      <c r="L96" s="10"/>
      <c r="M96" s="10"/>
      <c r="N96" s="10"/>
      <c r="O96" s="5" t="s">
        <v>486</v>
      </c>
      <c r="P96" s="10"/>
    </row>
    <row r="97" customFormat="false" ht="18" hidden="false" customHeight="false" outlineLevel="0" collapsed="false">
      <c r="A97" s="10" t="s">
        <v>487</v>
      </c>
      <c r="B97" s="10" t="s">
        <v>139</v>
      </c>
      <c r="C97" s="5" t="s">
        <v>140</v>
      </c>
      <c r="D97" s="10" t="s">
        <v>122</v>
      </c>
      <c r="E97" s="10" t="s">
        <v>259</v>
      </c>
      <c r="F97" s="10" t="s">
        <v>452</v>
      </c>
      <c r="G97" s="5" t="s">
        <v>453</v>
      </c>
      <c r="H97" s="10" t="s">
        <v>287</v>
      </c>
      <c r="I97" s="29" t="n">
        <v>0.005</v>
      </c>
      <c r="J97" s="11" t="n">
        <f aca="false">IFERROR(VLOOKUP(F97,工料机价格!$A$4:$F$36,6,FALSE()),0)</f>
        <v>1136.65</v>
      </c>
      <c r="K97" s="12" t="n">
        <f aca="false">I97*J97</f>
        <v>5.68325</v>
      </c>
      <c r="L97" s="10"/>
      <c r="M97" s="10"/>
      <c r="N97" s="10"/>
      <c r="O97" s="5" t="s">
        <v>488</v>
      </c>
      <c r="P97" s="10"/>
    </row>
    <row r="98" customFormat="false" ht="18" hidden="false" customHeight="false" outlineLevel="0" collapsed="false">
      <c r="A98" s="10" t="s">
        <v>489</v>
      </c>
      <c r="B98" s="10" t="s">
        <v>139</v>
      </c>
      <c r="C98" s="5" t="s">
        <v>140</v>
      </c>
      <c r="D98" s="10" t="s">
        <v>122</v>
      </c>
      <c r="E98" s="10" t="s">
        <v>257</v>
      </c>
      <c r="F98" s="10" t="s">
        <v>269</v>
      </c>
      <c r="G98" s="5" t="s">
        <v>270</v>
      </c>
      <c r="H98" s="10" t="s">
        <v>266</v>
      </c>
      <c r="I98" s="29" t="n">
        <v>0</v>
      </c>
      <c r="J98" s="11" t="n">
        <f aca="false">IFERROR(VLOOKUP(F98,工料机价格!$A$4:$F$36,6,FALSE()),0)</f>
        <v>300</v>
      </c>
      <c r="K98" s="12" t="n">
        <f aca="false">I98*J98</f>
        <v>0</v>
      </c>
      <c r="L98" s="10"/>
      <c r="M98" s="10"/>
      <c r="N98" s="10"/>
      <c r="O98" s="5" t="s">
        <v>490</v>
      </c>
      <c r="P98" s="10"/>
    </row>
    <row r="99" customFormat="false" ht="18" hidden="false" customHeight="false" outlineLevel="0" collapsed="false">
      <c r="A99" s="10" t="s">
        <v>491</v>
      </c>
      <c r="B99" s="10" t="s">
        <v>139</v>
      </c>
      <c r="C99" s="5" t="s">
        <v>140</v>
      </c>
      <c r="D99" s="10" t="s">
        <v>122</v>
      </c>
      <c r="E99" s="10" t="s">
        <v>257</v>
      </c>
      <c r="F99" s="10" t="s">
        <v>264</v>
      </c>
      <c r="G99" s="5" t="s">
        <v>265</v>
      </c>
      <c r="H99" s="10" t="s">
        <v>266</v>
      </c>
      <c r="I99" s="29" t="n">
        <v>0</v>
      </c>
      <c r="J99" s="11" t="n">
        <f aca="false">IFERROR(VLOOKUP(F99,工料机价格!$A$4:$F$36,6,FALSE()),0)</f>
        <v>350</v>
      </c>
      <c r="K99" s="12" t="n">
        <f aca="false">I99*J99</f>
        <v>0</v>
      </c>
      <c r="L99" s="10"/>
      <c r="M99" s="10"/>
      <c r="N99" s="10"/>
      <c r="O99" s="5" t="s">
        <v>492</v>
      </c>
      <c r="P99" s="10"/>
    </row>
    <row r="100" customFormat="false" ht="18" hidden="false" customHeight="false" outlineLevel="0" collapsed="false">
      <c r="A100" s="20" t="n">
        <v>18</v>
      </c>
      <c r="B100" s="20" t="s">
        <v>145</v>
      </c>
      <c r="C100" s="27" t="s">
        <v>146</v>
      </c>
      <c r="D100" s="20" t="s">
        <v>148</v>
      </c>
      <c r="E100" s="20" t="s">
        <v>261</v>
      </c>
      <c r="F100" s="20"/>
      <c r="G100" s="20"/>
      <c r="H100" s="20"/>
      <c r="I100" s="20"/>
      <c r="J100" s="20"/>
      <c r="K100" s="28" t="n">
        <f aca="false">SUM(K101:K103)</f>
        <v>134.81472</v>
      </c>
      <c r="L100" s="28" t="n">
        <f aca="false">SUMIF(E101:E103,"人工",K101:K103)</f>
        <v>0</v>
      </c>
      <c r="M100" s="28" t="n">
        <f aca="false">SUMIF(E101:E103,"材料",K101:K103)+SUMIF(E101:E103,"外委",K101:K103)</f>
        <v>12</v>
      </c>
      <c r="N100" s="28" t="n">
        <f aca="false">SUMIF(E101:E103,"机械",K101:K103)</f>
        <v>122.81472</v>
      </c>
      <c r="O100" s="27" t="s">
        <v>493</v>
      </c>
      <c r="P100" s="28" t="n">
        <f aca="false">K100</f>
        <v>134.81472</v>
      </c>
    </row>
    <row r="101" customFormat="false" ht="28.5" hidden="false" customHeight="true" outlineLevel="0" collapsed="false">
      <c r="A101" s="10" t="s">
        <v>494</v>
      </c>
      <c r="B101" s="10" t="s">
        <v>145</v>
      </c>
      <c r="C101" s="5" t="s">
        <v>146</v>
      </c>
      <c r="D101" s="10" t="s">
        <v>148</v>
      </c>
      <c r="E101" s="10" t="s">
        <v>259</v>
      </c>
      <c r="F101" s="10" t="s">
        <v>495</v>
      </c>
      <c r="G101" s="5" t="s">
        <v>496</v>
      </c>
      <c r="H101" s="10" t="s">
        <v>497</v>
      </c>
      <c r="I101" s="31" t="n">
        <f aca="false">工程量计算!C12</f>
        <v>189.8</v>
      </c>
      <c r="J101" s="11" t="n">
        <f aca="false">工料机价格!F36</f>
        <v>0.339733333333333</v>
      </c>
      <c r="K101" s="12" t="n">
        <f aca="false">I101*J101</f>
        <v>64.4813866666667</v>
      </c>
      <c r="L101" s="10"/>
      <c r="M101" s="10"/>
      <c r="N101" s="10"/>
      <c r="O101" s="5" t="s">
        <v>498</v>
      </c>
      <c r="P101" s="10"/>
    </row>
    <row r="102" customFormat="false" ht="18" hidden="false" customHeight="false" outlineLevel="0" collapsed="false">
      <c r="A102" s="10" t="s">
        <v>499</v>
      </c>
      <c r="B102" s="10" t="s">
        <v>145</v>
      </c>
      <c r="C102" s="5" t="s">
        <v>146</v>
      </c>
      <c r="D102" s="10" t="s">
        <v>148</v>
      </c>
      <c r="E102" s="10" t="s">
        <v>259</v>
      </c>
      <c r="F102" s="10" t="s">
        <v>500</v>
      </c>
      <c r="G102" s="5" t="s">
        <v>501</v>
      </c>
      <c r="H102" s="10" t="s">
        <v>148</v>
      </c>
      <c r="I102" s="29" t="n">
        <v>1</v>
      </c>
      <c r="J102" s="11" t="n">
        <f aca="false">工料机价格!F50</f>
        <v>58.3333333333333</v>
      </c>
      <c r="K102" s="12" t="n">
        <f aca="false">I102*J102</f>
        <v>58.3333333333333</v>
      </c>
      <c r="L102" s="10"/>
      <c r="M102" s="10"/>
      <c r="N102" s="10"/>
      <c r="O102" s="5" t="s">
        <v>502</v>
      </c>
      <c r="P102" s="10"/>
    </row>
    <row r="103" customFormat="false" ht="18" hidden="false" customHeight="false" outlineLevel="0" collapsed="false">
      <c r="A103" s="10" t="s">
        <v>503</v>
      </c>
      <c r="B103" s="10" t="s">
        <v>145</v>
      </c>
      <c r="C103" s="5" t="s">
        <v>146</v>
      </c>
      <c r="D103" s="10" t="s">
        <v>148</v>
      </c>
      <c r="E103" s="10" t="s">
        <v>258</v>
      </c>
      <c r="F103" s="10" t="s">
        <v>504</v>
      </c>
      <c r="G103" s="5" t="s">
        <v>505</v>
      </c>
      <c r="H103" s="10" t="s">
        <v>148</v>
      </c>
      <c r="I103" s="29" t="n">
        <v>1</v>
      </c>
      <c r="J103" s="11" t="n">
        <f aca="false">IFERROR(VLOOKUP(F103,工料机价格!$A$4:$F$36,6,FALSE()),0)</f>
        <v>12</v>
      </c>
      <c r="K103" s="12" t="n">
        <f aca="false">I103*J103</f>
        <v>12</v>
      </c>
      <c r="L103" s="10"/>
      <c r="M103" s="10"/>
      <c r="N103" s="10"/>
      <c r="O103" s="5" t="s">
        <v>506</v>
      </c>
      <c r="P103" s="10"/>
    </row>
    <row r="104" customFormat="false" ht="18" hidden="false" customHeight="false" outlineLevel="0" collapsed="false">
      <c r="A104" s="20" t="n">
        <v>19</v>
      </c>
      <c r="B104" s="20" t="s">
        <v>151</v>
      </c>
      <c r="C104" s="27" t="s">
        <v>152</v>
      </c>
      <c r="D104" s="20" t="s">
        <v>148</v>
      </c>
      <c r="E104" s="20" t="s">
        <v>261</v>
      </c>
      <c r="F104" s="20"/>
      <c r="G104" s="20"/>
      <c r="H104" s="20"/>
      <c r="I104" s="20"/>
      <c r="J104" s="20"/>
      <c r="K104" s="28" t="n">
        <f aca="false">SUM(K105)</f>
        <v>190</v>
      </c>
      <c r="L104" s="28" t="n">
        <f aca="false">SUMIF(E105,"人工",K105)</f>
        <v>0</v>
      </c>
      <c r="M104" s="28" t="n">
        <f aca="false">SUMIF(E105,"材料",K105)+SUMIF(E105,"外委",K105)</f>
        <v>190</v>
      </c>
      <c r="N104" s="28" t="n">
        <f aca="false">SUMIF(E105,"机械",K105)</f>
        <v>0</v>
      </c>
      <c r="O104" s="27" t="s">
        <v>262</v>
      </c>
      <c r="P104" s="28" t="n">
        <f aca="false">K104</f>
        <v>190</v>
      </c>
    </row>
    <row r="105" customFormat="false" ht="18" hidden="false" customHeight="false" outlineLevel="0" collapsed="false">
      <c r="A105" s="10" t="s">
        <v>507</v>
      </c>
      <c r="B105" s="10" t="s">
        <v>151</v>
      </c>
      <c r="C105" s="5" t="s">
        <v>152</v>
      </c>
      <c r="D105" s="10" t="s">
        <v>148</v>
      </c>
      <c r="E105" s="10" t="s">
        <v>508</v>
      </c>
      <c r="F105" s="10" t="s">
        <v>509</v>
      </c>
      <c r="G105" s="5" t="s">
        <v>152</v>
      </c>
      <c r="H105" s="10" t="s">
        <v>148</v>
      </c>
      <c r="I105" s="29" t="n">
        <v>1</v>
      </c>
      <c r="J105" s="11" t="n">
        <f aca="false">IFERROR(VLOOKUP(F105,工料机价格!$A$4:$F$36,6,FALSE()),0)</f>
        <v>190</v>
      </c>
      <c r="K105" s="12" t="n">
        <f aca="false">I105*J105</f>
        <v>190</v>
      </c>
      <c r="L105" s="10"/>
      <c r="M105" s="10"/>
      <c r="N105" s="10"/>
      <c r="O105" s="5" t="s">
        <v>510</v>
      </c>
      <c r="P105" s="10"/>
    </row>
    <row r="106" customFormat="false" ht="18" hidden="false" customHeight="false" outlineLevel="0" collapsed="false">
      <c r="A106" s="20" t="n">
        <v>20</v>
      </c>
      <c r="B106" s="20" t="s">
        <v>156</v>
      </c>
      <c r="C106" s="27" t="s">
        <v>157</v>
      </c>
      <c r="D106" s="20" t="s">
        <v>122</v>
      </c>
      <c r="E106" s="20" t="s">
        <v>261</v>
      </c>
      <c r="F106" s="20"/>
      <c r="G106" s="20"/>
      <c r="H106" s="20"/>
      <c r="I106" s="20"/>
      <c r="J106" s="20"/>
      <c r="K106" s="28" t="n">
        <f aca="false">SUM(K107)</f>
        <v>45</v>
      </c>
      <c r="L106" s="28" t="n">
        <f aca="false">SUMIF(E107,"人工",K107)</f>
        <v>0</v>
      </c>
      <c r="M106" s="28" t="n">
        <f aca="false">SUMIF(E107,"材料",K107)+SUMIF(E107,"外委",K107)</f>
        <v>45</v>
      </c>
      <c r="N106" s="28" t="n">
        <f aca="false">SUMIF(E107,"机械",K107)</f>
        <v>0</v>
      </c>
      <c r="O106" s="27" t="s">
        <v>262</v>
      </c>
      <c r="P106" s="28" t="n">
        <f aca="false">K106</f>
        <v>45</v>
      </c>
    </row>
    <row r="107" customFormat="false" ht="18" hidden="false" customHeight="false" outlineLevel="0" collapsed="false">
      <c r="A107" s="10" t="s">
        <v>511</v>
      </c>
      <c r="B107" s="10" t="s">
        <v>156</v>
      </c>
      <c r="C107" s="5" t="s">
        <v>157</v>
      </c>
      <c r="D107" s="10" t="s">
        <v>122</v>
      </c>
      <c r="E107" s="10" t="s">
        <v>508</v>
      </c>
      <c r="F107" s="10" t="s">
        <v>512</v>
      </c>
      <c r="G107" s="5" t="s">
        <v>157</v>
      </c>
      <c r="H107" s="10" t="s">
        <v>122</v>
      </c>
      <c r="I107" s="29" t="n">
        <v>1</v>
      </c>
      <c r="J107" s="11" t="n">
        <f aca="false">IFERROR(VLOOKUP(F107,工料机价格!$A$4:$F$36,6,FALSE()),0)</f>
        <v>45</v>
      </c>
      <c r="K107" s="12" t="n">
        <f aca="false">I107*J107</f>
        <v>45</v>
      </c>
      <c r="L107" s="10"/>
      <c r="M107" s="10"/>
      <c r="N107" s="10"/>
      <c r="O107" s="5" t="s">
        <v>513</v>
      </c>
      <c r="P107" s="10"/>
    </row>
    <row r="108" customFormat="false" ht="18" hidden="false" customHeight="false" outlineLevel="0" collapsed="false">
      <c r="A108" s="20" t="n">
        <v>21</v>
      </c>
      <c r="B108" s="20" t="s">
        <v>161</v>
      </c>
      <c r="C108" s="27" t="s">
        <v>162</v>
      </c>
      <c r="D108" s="20" t="s">
        <v>122</v>
      </c>
      <c r="E108" s="20" t="s">
        <v>261</v>
      </c>
      <c r="F108" s="20"/>
      <c r="G108" s="20"/>
      <c r="H108" s="20"/>
      <c r="I108" s="20"/>
      <c r="J108" s="20"/>
      <c r="K108" s="28" t="n">
        <f aca="false">SUM(K109:K112)</f>
        <v>9.59355</v>
      </c>
      <c r="L108" s="28" t="n">
        <f aca="false">SUMIF(E109:E112,"人工",K109:K112)</f>
        <v>0</v>
      </c>
      <c r="M108" s="28" t="n">
        <f aca="false">SUMIF(E109:E112,"材料",K109:K112)+SUMIF(E109:E112,"外委",K109:K112)</f>
        <v>0</v>
      </c>
      <c r="N108" s="28" t="n">
        <f aca="false">SUMIF(E109:E112,"机械",K109:K112)</f>
        <v>9.59355</v>
      </c>
      <c r="O108" s="27" t="s">
        <v>262</v>
      </c>
      <c r="P108" s="28" t="n">
        <f aca="false">K108</f>
        <v>9.59355</v>
      </c>
    </row>
    <row r="109" customFormat="false" ht="18" hidden="false" customHeight="false" outlineLevel="0" collapsed="false">
      <c r="A109" s="10" t="s">
        <v>514</v>
      </c>
      <c r="B109" s="10" t="s">
        <v>161</v>
      </c>
      <c r="C109" s="5" t="s">
        <v>162</v>
      </c>
      <c r="D109" s="10" t="s">
        <v>122</v>
      </c>
      <c r="E109" s="10" t="s">
        <v>259</v>
      </c>
      <c r="F109" s="10" t="s">
        <v>452</v>
      </c>
      <c r="G109" s="5" t="s">
        <v>453</v>
      </c>
      <c r="H109" s="10" t="s">
        <v>287</v>
      </c>
      <c r="I109" s="29" t="n">
        <v>0.003</v>
      </c>
      <c r="J109" s="11" t="n">
        <f aca="false">IFERROR(VLOOKUP(F109,工料机价格!$A$4:$F$36,6,FALSE()),0)</f>
        <v>1136.65</v>
      </c>
      <c r="K109" s="12" t="n">
        <f aca="false">I109*J109</f>
        <v>3.40995</v>
      </c>
      <c r="L109" s="10"/>
      <c r="M109" s="10"/>
      <c r="N109" s="10"/>
      <c r="O109" s="5" t="s">
        <v>515</v>
      </c>
      <c r="P109" s="10"/>
    </row>
    <row r="110" customFormat="false" ht="18" hidden="false" customHeight="false" outlineLevel="0" collapsed="false">
      <c r="A110" s="10" t="s">
        <v>516</v>
      </c>
      <c r="B110" s="10" t="s">
        <v>161</v>
      </c>
      <c r="C110" s="5" t="s">
        <v>162</v>
      </c>
      <c r="D110" s="10" t="s">
        <v>122</v>
      </c>
      <c r="E110" s="10" t="s">
        <v>259</v>
      </c>
      <c r="F110" s="10" t="s">
        <v>330</v>
      </c>
      <c r="G110" s="5" t="s">
        <v>331</v>
      </c>
      <c r="H110" s="10" t="s">
        <v>287</v>
      </c>
      <c r="I110" s="29" t="n">
        <v>0.002</v>
      </c>
      <c r="J110" s="11" t="n">
        <f aca="false">IFERROR(VLOOKUP(F110,工料机价格!$A$4:$F$36,6,FALSE()),0)</f>
        <v>1773.3</v>
      </c>
      <c r="K110" s="12" t="n">
        <f aca="false">I110*J110</f>
        <v>3.5466</v>
      </c>
      <c r="L110" s="10"/>
      <c r="M110" s="10"/>
      <c r="N110" s="10"/>
      <c r="O110" s="5" t="s">
        <v>517</v>
      </c>
      <c r="P110" s="10"/>
    </row>
    <row r="111" customFormat="false" ht="18" hidden="false" customHeight="false" outlineLevel="0" collapsed="false">
      <c r="A111" s="10" t="s">
        <v>518</v>
      </c>
      <c r="B111" s="10" t="s">
        <v>161</v>
      </c>
      <c r="C111" s="5" t="s">
        <v>162</v>
      </c>
      <c r="D111" s="10" t="s">
        <v>122</v>
      </c>
      <c r="E111" s="10" t="s">
        <v>259</v>
      </c>
      <c r="F111" s="10" t="s">
        <v>290</v>
      </c>
      <c r="G111" s="5" t="s">
        <v>291</v>
      </c>
      <c r="H111" s="10" t="s">
        <v>287</v>
      </c>
      <c r="I111" s="29" t="n">
        <v>0.0025</v>
      </c>
      <c r="J111" s="11" t="n">
        <f aca="false">IFERROR(VLOOKUP(F111,工料机价格!$A$4:$F$36,6,FALSE()),0)</f>
        <v>1054.8</v>
      </c>
      <c r="K111" s="12" t="n">
        <f aca="false">I111*J111</f>
        <v>2.637</v>
      </c>
      <c r="L111" s="10"/>
      <c r="M111" s="10"/>
      <c r="N111" s="10"/>
      <c r="O111" s="5" t="s">
        <v>519</v>
      </c>
      <c r="P111" s="10"/>
    </row>
    <row r="112" customFormat="false" ht="18" hidden="false" customHeight="false" outlineLevel="0" collapsed="false">
      <c r="A112" s="10" t="s">
        <v>520</v>
      </c>
      <c r="B112" s="10" t="s">
        <v>161</v>
      </c>
      <c r="C112" s="5" t="s">
        <v>162</v>
      </c>
      <c r="D112" s="10" t="s">
        <v>122</v>
      </c>
      <c r="E112" s="10" t="s">
        <v>257</v>
      </c>
      <c r="F112" s="10" t="s">
        <v>269</v>
      </c>
      <c r="G112" s="5" t="s">
        <v>270</v>
      </c>
      <c r="H112" s="10" t="s">
        <v>266</v>
      </c>
      <c r="I112" s="29" t="n">
        <v>0</v>
      </c>
      <c r="J112" s="11" t="n">
        <f aca="false">IFERROR(VLOOKUP(F112,工料机价格!$A$4:$F$36,6,FALSE()),0)</f>
        <v>300</v>
      </c>
      <c r="K112" s="12" t="n">
        <f aca="false">I112*J112</f>
        <v>0</v>
      </c>
      <c r="L112" s="10"/>
      <c r="M112" s="10"/>
      <c r="N112" s="10"/>
      <c r="O112" s="5" t="s">
        <v>521</v>
      </c>
      <c r="P112" s="10"/>
    </row>
    <row r="113" customFormat="false" ht="18" hidden="false" customHeight="false" outlineLevel="0" collapsed="false">
      <c r="A113" s="20" t="n">
        <v>22</v>
      </c>
      <c r="B113" s="20" t="s">
        <v>166</v>
      </c>
      <c r="C113" s="27" t="s">
        <v>167</v>
      </c>
      <c r="D113" s="20" t="s">
        <v>122</v>
      </c>
      <c r="E113" s="20" t="s">
        <v>261</v>
      </c>
      <c r="F113" s="20"/>
      <c r="G113" s="20"/>
      <c r="H113" s="20"/>
      <c r="I113" s="20"/>
      <c r="J113" s="20"/>
      <c r="K113" s="28" t="n">
        <f aca="false">SUM(K114:K117)</f>
        <v>3.470835</v>
      </c>
      <c r="L113" s="28" t="n">
        <f aca="false">SUMIF(E114:E117,"人工",K114:K117)</f>
        <v>2.01</v>
      </c>
      <c r="M113" s="28" t="n">
        <f aca="false">SUMIF(E114:E117,"材料",K114:K117)+SUMIF(E114:E117,"外委",K114:K117)</f>
        <v>0.124</v>
      </c>
      <c r="N113" s="28" t="n">
        <f aca="false">SUMIF(E114:E117,"机械",K114:K117)</f>
        <v>1.336835</v>
      </c>
      <c r="O113" s="27" t="s">
        <v>262</v>
      </c>
      <c r="P113" s="28" t="n">
        <f aca="false">K113</f>
        <v>3.470835</v>
      </c>
    </row>
    <row r="114" customFormat="false" ht="18" hidden="false" customHeight="false" outlineLevel="0" collapsed="false">
      <c r="A114" s="10" t="s">
        <v>522</v>
      </c>
      <c r="B114" s="10" t="s">
        <v>166</v>
      </c>
      <c r="C114" s="5" t="s">
        <v>167</v>
      </c>
      <c r="D114" s="10" t="s">
        <v>122</v>
      </c>
      <c r="E114" s="10" t="s">
        <v>258</v>
      </c>
      <c r="F114" s="10" t="s">
        <v>468</v>
      </c>
      <c r="G114" s="5" t="s">
        <v>469</v>
      </c>
      <c r="H114" s="10" t="s">
        <v>148</v>
      </c>
      <c r="I114" s="29" t="n">
        <v>0.0001</v>
      </c>
      <c r="J114" s="11" t="n">
        <f aca="false">IFERROR(VLOOKUP(F114,工料机价格!$A$4:$F$36,6,FALSE()),0)</f>
        <v>1100</v>
      </c>
      <c r="K114" s="12" t="n">
        <f aca="false">I114*J114</f>
        <v>0.11</v>
      </c>
      <c r="L114" s="10"/>
      <c r="M114" s="10"/>
      <c r="N114" s="10"/>
      <c r="O114" s="5" t="s">
        <v>523</v>
      </c>
      <c r="P114" s="10"/>
    </row>
    <row r="115" customFormat="false" ht="18" hidden="false" customHeight="false" outlineLevel="0" collapsed="false">
      <c r="A115" s="10" t="s">
        <v>524</v>
      </c>
      <c r="B115" s="10" t="s">
        <v>166</v>
      </c>
      <c r="C115" s="5" t="s">
        <v>167</v>
      </c>
      <c r="D115" s="10" t="s">
        <v>122</v>
      </c>
      <c r="E115" s="10" t="s">
        <v>258</v>
      </c>
      <c r="F115" s="10" t="s">
        <v>472</v>
      </c>
      <c r="G115" s="5" t="s">
        <v>473</v>
      </c>
      <c r="H115" s="10" t="s">
        <v>148</v>
      </c>
      <c r="I115" s="29" t="n">
        <v>2E-006</v>
      </c>
      <c r="J115" s="11" t="n">
        <f aca="false">IFERROR(VLOOKUP(F115,工料机价格!$A$4:$F$36,6,FALSE()),0)</f>
        <v>7000</v>
      </c>
      <c r="K115" s="12" t="n">
        <f aca="false">I115*J115</f>
        <v>0.014</v>
      </c>
      <c r="L115" s="10"/>
      <c r="M115" s="10"/>
      <c r="N115" s="10"/>
      <c r="O115" s="5" t="s">
        <v>525</v>
      </c>
      <c r="P115" s="10"/>
    </row>
    <row r="116" customFormat="false" ht="18" hidden="false" customHeight="false" outlineLevel="0" collapsed="false">
      <c r="A116" s="10" t="s">
        <v>526</v>
      </c>
      <c r="B116" s="10" t="s">
        <v>166</v>
      </c>
      <c r="C116" s="5" t="s">
        <v>167</v>
      </c>
      <c r="D116" s="10" t="s">
        <v>122</v>
      </c>
      <c r="E116" s="10" t="s">
        <v>259</v>
      </c>
      <c r="F116" s="10" t="s">
        <v>442</v>
      </c>
      <c r="G116" s="5" t="s">
        <v>443</v>
      </c>
      <c r="H116" s="10" t="s">
        <v>287</v>
      </c>
      <c r="I116" s="29" t="n">
        <v>0.0167</v>
      </c>
      <c r="J116" s="11" t="n">
        <f aca="false">IFERROR(VLOOKUP(F116,工料机价格!$A$4:$F$36,6,FALSE()),0)</f>
        <v>80.05</v>
      </c>
      <c r="K116" s="12" t="n">
        <f aca="false">I116*J116</f>
        <v>1.336835</v>
      </c>
      <c r="L116" s="10"/>
      <c r="M116" s="10"/>
      <c r="N116" s="10"/>
      <c r="O116" s="5" t="s">
        <v>527</v>
      </c>
      <c r="P116" s="10"/>
    </row>
    <row r="117" customFormat="false" ht="18" hidden="false" customHeight="false" outlineLevel="0" collapsed="false">
      <c r="A117" s="10" t="s">
        <v>528</v>
      </c>
      <c r="B117" s="10" t="s">
        <v>166</v>
      </c>
      <c r="C117" s="5" t="s">
        <v>167</v>
      </c>
      <c r="D117" s="10" t="s">
        <v>122</v>
      </c>
      <c r="E117" s="10" t="s">
        <v>257</v>
      </c>
      <c r="F117" s="10" t="s">
        <v>269</v>
      </c>
      <c r="G117" s="5" t="s">
        <v>270</v>
      </c>
      <c r="H117" s="10" t="s">
        <v>266</v>
      </c>
      <c r="I117" s="29" t="n">
        <v>0.0067</v>
      </c>
      <c r="J117" s="11" t="n">
        <f aca="false">IFERROR(VLOOKUP(F117,工料机价格!$A$4:$F$36,6,FALSE()),0)</f>
        <v>300</v>
      </c>
      <c r="K117" s="12" t="n">
        <f aca="false">I117*J117</f>
        <v>2.01</v>
      </c>
      <c r="L117" s="10"/>
      <c r="M117" s="10"/>
      <c r="N117" s="10"/>
      <c r="O117" s="5" t="s">
        <v>529</v>
      </c>
      <c r="P117" s="10"/>
    </row>
    <row r="118" customFormat="false" ht="18" hidden="false" customHeight="false" outlineLevel="0" collapsed="false">
      <c r="A118" s="20" t="n">
        <v>23</v>
      </c>
      <c r="B118" s="20" t="s">
        <v>171</v>
      </c>
      <c r="C118" s="27" t="s">
        <v>172</v>
      </c>
      <c r="D118" s="20" t="s">
        <v>122</v>
      </c>
      <c r="E118" s="20" t="s">
        <v>261</v>
      </c>
      <c r="F118" s="20"/>
      <c r="G118" s="20"/>
      <c r="H118" s="20"/>
      <c r="I118" s="20"/>
      <c r="J118" s="20"/>
      <c r="K118" s="28" t="n">
        <f aca="false">SUM(K119:K120)</f>
        <v>56.8325</v>
      </c>
      <c r="L118" s="28" t="n">
        <f aca="false">SUMIF(E119:E120,"人工",K119:K120)</f>
        <v>0</v>
      </c>
      <c r="M118" s="28" t="n">
        <f aca="false">SUMIF(E119:E120,"材料",K119:K120)+SUMIF(E119:E120,"外委",K119:K120)</f>
        <v>0</v>
      </c>
      <c r="N118" s="28" t="n">
        <f aca="false">SUMIF(E119:E120,"机械",K119:K120)</f>
        <v>56.8325</v>
      </c>
      <c r="O118" s="27" t="s">
        <v>262</v>
      </c>
      <c r="P118" s="28" t="n">
        <f aca="false">K118</f>
        <v>56.8325</v>
      </c>
    </row>
    <row r="119" customFormat="false" ht="28.5" hidden="false" customHeight="true" outlineLevel="0" collapsed="false">
      <c r="A119" s="10" t="s">
        <v>530</v>
      </c>
      <c r="B119" s="10" t="s">
        <v>171</v>
      </c>
      <c r="C119" s="5" t="s">
        <v>172</v>
      </c>
      <c r="D119" s="10" t="s">
        <v>122</v>
      </c>
      <c r="E119" s="10" t="s">
        <v>259</v>
      </c>
      <c r="F119" s="10" t="s">
        <v>452</v>
      </c>
      <c r="G119" s="5" t="s">
        <v>453</v>
      </c>
      <c r="H119" s="10" t="s">
        <v>287</v>
      </c>
      <c r="I119" s="29" t="n">
        <v>0.05</v>
      </c>
      <c r="J119" s="11" t="n">
        <f aca="false">IFERROR(VLOOKUP(F119,工料机价格!$A$4:$F$36,6,FALSE()),0)</f>
        <v>1136.65</v>
      </c>
      <c r="K119" s="12" t="n">
        <f aca="false">I119*J119</f>
        <v>56.8325</v>
      </c>
      <c r="L119" s="10"/>
      <c r="M119" s="10"/>
      <c r="N119" s="10"/>
      <c r="O119" s="5" t="s">
        <v>531</v>
      </c>
      <c r="P119" s="10"/>
    </row>
    <row r="120" customFormat="false" ht="18" hidden="false" customHeight="false" outlineLevel="0" collapsed="false">
      <c r="A120" s="10" t="s">
        <v>532</v>
      </c>
      <c r="B120" s="10" t="s">
        <v>171</v>
      </c>
      <c r="C120" s="5" t="s">
        <v>172</v>
      </c>
      <c r="D120" s="10" t="s">
        <v>122</v>
      </c>
      <c r="E120" s="10" t="s">
        <v>257</v>
      </c>
      <c r="F120" s="10" t="s">
        <v>269</v>
      </c>
      <c r="G120" s="5" t="s">
        <v>270</v>
      </c>
      <c r="H120" s="10" t="s">
        <v>266</v>
      </c>
      <c r="I120" s="29" t="n">
        <v>0</v>
      </c>
      <c r="J120" s="11" t="n">
        <f aca="false">IFERROR(VLOOKUP(F120,工料机价格!$A$4:$F$36,6,FALSE()),0)</f>
        <v>300</v>
      </c>
      <c r="K120" s="12" t="n">
        <f aca="false">I120*J120</f>
        <v>0</v>
      </c>
      <c r="L120" s="10"/>
      <c r="M120" s="10"/>
      <c r="N120" s="10"/>
      <c r="O120" s="5" t="s">
        <v>533</v>
      </c>
      <c r="P120" s="10"/>
    </row>
    <row r="121" customFormat="false" ht="18" hidden="false" customHeight="false" outlineLevel="0" collapsed="false">
      <c r="A121" s="20" t="n">
        <v>24</v>
      </c>
      <c r="B121" s="20" t="s">
        <v>175</v>
      </c>
      <c r="C121" s="27" t="s">
        <v>176</v>
      </c>
      <c r="D121" s="20" t="s">
        <v>122</v>
      </c>
      <c r="E121" s="20" t="s">
        <v>261</v>
      </c>
      <c r="F121" s="20"/>
      <c r="G121" s="20"/>
      <c r="H121" s="20"/>
      <c r="I121" s="20"/>
      <c r="J121" s="20"/>
      <c r="K121" s="28" t="n">
        <f aca="false">SUM(K122)</f>
        <v>75</v>
      </c>
      <c r="L121" s="28" t="n">
        <f aca="false">SUMIF(E122,"人工",K122)</f>
        <v>0</v>
      </c>
      <c r="M121" s="28" t="n">
        <f aca="false">SUMIF(E122,"材料",K122)+SUMIF(E122,"外委",K122)</f>
        <v>75</v>
      </c>
      <c r="N121" s="28" t="n">
        <f aca="false">SUMIF(E122,"机械",K122)</f>
        <v>0</v>
      </c>
      <c r="O121" s="27" t="s">
        <v>262</v>
      </c>
      <c r="P121" s="28" t="n">
        <f aca="false">K121</f>
        <v>75</v>
      </c>
    </row>
    <row r="122" customFormat="false" ht="28.5" hidden="false" customHeight="true" outlineLevel="0" collapsed="false">
      <c r="A122" s="10" t="s">
        <v>534</v>
      </c>
      <c r="B122" s="10" t="s">
        <v>175</v>
      </c>
      <c r="C122" s="5" t="s">
        <v>176</v>
      </c>
      <c r="D122" s="10" t="s">
        <v>122</v>
      </c>
      <c r="E122" s="10" t="s">
        <v>508</v>
      </c>
      <c r="F122" s="10" t="s">
        <v>535</v>
      </c>
      <c r="G122" s="5" t="s">
        <v>536</v>
      </c>
      <c r="H122" s="10" t="s">
        <v>122</v>
      </c>
      <c r="I122" s="29" t="n">
        <v>1</v>
      </c>
      <c r="J122" s="11" t="n">
        <f aca="false">工料机价格!F30</f>
        <v>75</v>
      </c>
      <c r="K122" s="12" t="n">
        <f aca="false">I122*J122</f>
        <v>75</v>
      </c>
      <c r="L122" s="10"/>
      <c r="M122" s="10"/>
      <c r="N122" s="10"/>
      <c r="O122" s="5" t="s">
        <v>537</v>
      </c>
      <c r="P122" s="10"/>
    </row>
    <row r="123" customFormat="false" ht="18" hidden="false" customHeight="false" outlineLevel="0" collapsed="false">
      <c r="A123" s="20" t="n">
        <v>25</v>
      </c>
      <c r="B123" s="20" t="s">
        <v>180</v>
      </c>
      <c r="C123" s="27" t="s">
        <v>181</v>
      </c>
      <c r="D123" s="20" t="s">
        <v>49</v>
      </c>
      <c r="E123" s="20" t="s">
        <v>261</v>
      </c>
      <c r="F123" s="20"/>
      <c r="G123" s="20"/>
      <c r="H123" s="20"/>
      <c r="I123" s="20"/>
      <c r="J123" s="20"/>
      <c r="K123" s="28" t="n">
        <f aca="false">SUM(K124:K126)</f>
        <v>54416.25</v>
      </c>
      <c r="L123" s="28" t="n">
        <f aca="false">SUMIF(E124:E126,"人工",K124:K126)</f>
        <v>18000</v>
      </c>
      <c r="M123" s="28" t="n">
        <f aca="false">SUMIF(E124:E126,"材料",K124:K126)+SUMIF(E124:E126,"外委",K124:K126)</f>
        <v>0</v>
      </c>
      <c r="N123" s="28" t="n">
        <f aca="false">SUMIF(E124:E126,"机械",K124:K126)</f>
        <v>36416.25</v>
      </c>
      <c r="O123" s="27" t="s">
        <v>538</v>
      </c>
      <c r="P123" s="28" t="n">
        <f aca="false">K123</f>
        <v>54416.25</v>
      </c>
    </row>
    <row r="124" customFormat="false" ht="28.5" hidden="false" customHeight="true" outlineLevel="0" collapsed="false">
      <c r="A124" s="10" t="s">
        <v>539</v>
      </c>
      <c r="B124" s="10" t="s">
        <v>180</v>
      </c>
      <c r="C124" s="5" t="s">
        <v>181</v>
      </c>
      <c r="D124" s="10" t="s">
        <v>49</v>
      </c>
      <c r="E124" s="10" t="s">
        <v>257</v>
      </c>
      <c r="F124" s="10" t="s">
        <v>269</v>
      </c>
      <c r="G124" s="5" t="s">
        <v>270</v>
      </c>
      <c r="H124" s="10" t="s">
        <v>266</v>
      </c>
      <c r="I124" s="29" t="n">
        <v>60</v>
      </c>
      <c r="J124" s="11" t="n">
        <f aca="false">IFERROR(VLOOKUP(F124,工料机价格!$A$4:$F$36,6,FALSE()),0)</f>
        <v>300</v>
      </c>
      <c r="K124" s="12" t="n">
        <f aca="false">I124*J124</f>
        <v>18000</v>
      </c>
      <c r="L124" s="10"/>
      <c r="M124" s="10"/>
      <c r="N124" s="10"/>
      <c r="O124" s="5" t="s">
        <v>540</v>
      </c>
      <c r="P124" s="10"/>
    </row>
    <row r="125" customFormat="false" ht="18" hidden="false" customHeight="false" outlineLevel="0" collapsed="false">
      <c r="A125" s="10" t="s">
        <v>541</v>
      </c>
      <c r="B125" s="10" t="s">
        <v>180</v>
      </c>
      <c r="C125" s="5" t="s">
        <v>181</v>
      </c>
      <c r="D125" s="10" t="s">
        <v>49</v>
      </c>
      <c r="E125" s="10" t="s">
        <v>258</v>
      </c>
      <c r="F125" s="10" t="s">
        <v>542</v>
      </c>
      <c r="G125" s="5" t="s">
        <v>543</v>
      </c>
      <c r="H125" s="10" t="s">
        <v>544</v>
      </c>
      <c r="I125" s="29" t="n">
        <v>0</v>
      </c>
      <c r="J125" s="11" t="n">
        <f aca="false">IFERROR(VLOOKUP(F125,工料机价格!$A$4:$F$36,6,FALSE()),0)</f>
        <v>6.37</v>
      </c>
      <c r="K125" s="12" t="n">
        <f aca="false">I125*J125</f>
        <v>0</v>
      </c>
      <c r="L125" s="10"/>
      <c r="M125" s="10"/>
      <c r="N125" s="10"/>
      <c r="O125" s="5" t="s">
        <v>545</v>
      </c>
      <c r="P125" s="10"/>
    </row>
    <row r="126" customFormat="false" ht="28.5" hidden="false" customHeight="true" outlineLevel="0" collapsed="false">
      <c r="A126" s="10" t="s">
        <v>546</v>
      </c>
      <c r="B126" s="10" t="s">
        <v>180</v>
      </c>
      <c r="C126" s="5" t="s">
        <v>181</v>
      </c>
      <c r="D126" s="10" t="s">
        <v>49</v>
      </c>
      <c r="E126" s="10" t="s">
        <v>259</v>
      </c>
      <c r="F126" s="10" t="s">
        <v>547</v>
      </c>
      <c r="G126" s="5" t="s">
        <v>548</v>
      </c>
      <c r="H126" s="10" t="s">
        <v>287</v>
      </c>
      <c r="I126" s="29" t="n">
        <v>45</v>
      </c>
      <c r="J126" s="11" t="n">
        <f aca="false">IFERROR(VLOOKUP(F126,工料机价格!$A$4:$F$41,6,FALSE()),0)</f>
        <v>809.25</v>
      </c>
      <c r="K126" s="12" t="n">
        <f aca="false">I126*J126</f>
        <v>36416.25</v>
      </c>
      <c r="L126" s="10"/>
      <c r="M126" s="10"/>
      <c r="N126" s="10"/>
      <c r="O126" s="5" t="s">
        <v>549</v>
      </c>
      <c r="P126" s="10"/>
    </row>
    <row r="127" customFormat="false" ht="18" hidden="false" customHeight="false" outlineLevel="0" collapsed="false">
      <c r="A127" s="20" t="n">
        <v>26</v>
      </c>
      <c r="B127" s="20" t="s">
        <v>185</v>
      </c>
      <c r="C127" s="27" t="s">
        <v>186</v>
      </c>
      <c r="D127" s="20" t="s">
        <v>188</v>
      </c>
      <c r="E127" s="20" t="s">
        <v>261</v>
      </c>
      <c r="F127" s="20"/>
      <c r="G127" s="20"/>
      <c r="H127" s="20"/>
      <c r="I127" s="20"/>
      <c r="J127" s="20"/>
      <c r="K127" s="28" t="n">
        <f aca="false">SUM(K128)</f>
        <v>750</v>
      </c>
      <c r="L127" s="28" t="n">
        <f aca="false">SUMIF(E128,"人工",K128)</f>
        <v>0</v>
      </c>
      <c r="M127" s="28" t="n">
        <f aca="false">SUMIF(E128,"材料",K128)+SUMIF(E128,"外委",K128)</f>
        <v>750</v>
      </c>
      <c r="N127" s="28" t="n">
        <f aca="false">SUMIF(E128,"机械",K128)</f>
        <v>0</v>
      </c>
      <c r="O127" s="27" t="s">
        <v>262</v>
      </c>
      <c r="P127" s="28" t="n">
        <f aca="false">K127</f>
        <v>750</v>
      </c>
    </row>
    <row r="128" customFormat="false" ht="18" hidden="false" customHeight="false" outlineLevel="0" collapsed="false">
      <c r="A128" s="10" t="s">
        <v>550</v>
      </c>
      <c r="B128" s="10" t="s">
        <v>185</v>
      </c>
      <c r="C128" s="5" t="s">
        <v>186</v>
      </c>
      <c r="D128" s="10" t="s">
        <v>188</v>
      </c>
      <c r="E128" s="10" t="s">
        <v>508</v>
      </c>
      <c r="F128" s="10" t="s">
        <v>551</v>
      </c>
      <c r="G128" s="5" t="s">
        <v>552</v>
      </c>
      <c r="H128" s="10" t="s">
        <v>188</v>
      </c>
      <c r="I128" s="29" t="n">
        <v>1</v>
      </c>
      <c r="J128" s="11" t="n">
        <f aca="false">IFERROR(VLOOKUP(F128,工料机价格!$A$4:$F$36,6,FALSE()),0)</f>
        <v>750</v>
      </c>
      <c r="K128" s="12" t="n">
        <f aca="false">I128*J128</f>
        <v>750</v>
      </c>
      <c r="L128" s="10"/>
      <c r="M128" s="10"/>
      <c r="N128" s="10"/>
      <c r="O128" s="5" t="s">
        <v>553</v>
      </c>
      <c r="P128" s="10"/>
    </row>
    <row r="129" customFormat="false" ht="18" hidden="false" customHeight="false" outlineLevel="0" collapsed="false">
      <c r="A129" s="20" t="n">
        <v>27</v>
      </c>
      <c r="B129" s="20" t="s">
        <v>191</v>
      </c>
      <c r="C129" s="27" t="s">
        <v>192</v>
      </c>
      <c r="D129" s="20" t="s">
        <v>188</v>
      </c>
      <c r="E129" s="20" t="s">
        <v>261</v>
      </c>
      <c r="F129" s="20"/>
      <c r="G129" s="20"/>
      <c r="H129" s="20"/>
      <c r="I129" s="20"/>
      <c r="J129" s="20"/>
      <c r="K129" s="28" t="n">
        <f aca="false">SUM(K130)</f>
        <v>200</v>
      </c>
      <c r="L129" s="28" t="n">
        <f aca="false">SUMIF(E130,"人工",K130)</f>
        <v>0</v>
      </c>
      <c r="M129" s="28" t="n">
        <f aca="false">SUMIF(E130,"材料",K130)+SUMIF(E130,"外委",K130)</f>
        <v>200</v>
      </c>
      <c r="N129" s="28" t="n">
        <f aca="false">SUMIF(E130,"机械",K130)</f>
        <v>0</v>
      </c>
      <c r="O129" s="27" t="s">
        <v>262</v>
      </c>
      <c r="P129" s="28" t="n">
        <f aca="false">K129</f>
        <v>200</v>
      </c>
    </row>
    <row r="130" customFormat="false" ht="18" hidden="false" customHeight="false" outlineLevel="0" collapsed="false">
      <c r="A130" s="10" t="s">
        <v>554</v>
      </c>
      <c r="B130" s="10" t="s">
        <v>191</v>
      </c>
      <c r="C130" s="5" t="s">
        <v>192</v>
      </c>
      <c r="D130" s="10" t="s">
        <v>188</v>
      </c>
      <c r="E130" s="10" t="s">
        <v>508</v>
      </c>
      <c r="F130" s="10" t="s">
        <v>555</v>
      </c>
      <c r="G130" s="5" t="s">
        <v>556</v>
      </c>
      <c r="H130" s="10" t="s">
        <v>188</v>
      </c>
      <c r="I130" s="29" t="n">
        <v>1</v>
      </c>
      <c r="J130" s="11" t="n">
        <f aca="false">IFERROR(VLOOKUP(F130,工料机价格!$A$4:$F$36,6,FALSE()),0)</f>
        <v>200</v>
      </c>
      <c r="K130" s="12" t="n">
        <f aca="false">I130*J130</f>
        <v>200</v>
      </c>
      <c r="L130" s="10"/>
      <c r="M130" s="10"/>
      <c r="N130" s="10"/>
      <c r="O130" s="5" t="s">
        <v>557</v>
      </c>
      <c r="P130" s="10"/>
    </row>
    <row r="131" customFormat="false" ht="18" hidden="false" customHeight="false" outlineLevel="0" collapsed="false">
      <c r="A131" s="20" t="n">
        <v>28</v>
      </c>
      <c r="B131" s="20" t="s">
        <v>195</v>
      </c>
      <c r="C131" s="27" t="s">
        <v>196</v>
      </c>
      <c r="D131" s="20" t="s">
        <v>197</v>
      </c>
      <c r="E131" s="20" t="s">
        <v>261</v>
      </c>
      <c r="F131" s="20"/>
      <c r="G131" s="20"/>
      <c r="H131" s="20"/>
      <c r="I131" s="20"/>
      <c r="J131" s="20"/>
      <c r="K131" s="28" t="n">
        <f aca="false">SUM(K132)</f>
        <v>300</v>
      </c>
      <c r="L131" s="28" t="n">
        <f aca="false">SUMIF(E132,"人工",K132)</f>
        <v>0</v>
      </c>
      <c r="M131" s="28" t="n">
        <f aca="false">SUMIF(E132,"材料",K132)+SUMIF(E132,"外委",K132)</f>
        <v>300</v>
      </c>
      <c r="N131" s="28" t="n">
        <f aca="false">SUMIF(E132,"机械",K132)</f>
        <v>0</v>
      </c>
      <c r="O131" s="27" t="s">
        <v>262</v>
      </c>
      <c r="P131" s="28" t="n">
        <f aca="false">K131</f>
        <v>300</v>
      </c>
    </row>
    <row r="132" customFormat="false" ht="18" hidden="false" customHeight="false" outlineLevel="0" collapsed="false">
      <c r="A132" s="10" t="s">
        <v>558</v>
      </c>
      <c r="B132" s="10" t="s">
        <v>195</v>
      </c>
      <c r="C132" s="5" t="s">
        <v>196</v>
      </c>
      <c r="D132" s="10" t="s">
        <v>197</v>
      </c>
      <c r="E132" s="10" t="s">
        <v>508</v>
      </c>
      <c r="F132" s="10" t="s">
        <v>559</v>
      </c>
      <c r="G132" s="5" t="s">
        <v>560</v>
      </c>
      <c r="H132" s="10" t="s">
        <v>197</v>
      </c>
      <c r="I132" s="29" t="n">
        <v>1</v>
      </c>
      <c r="J132" s="11" t="n">
        <f aca="false">IFERROR(VLOOKUP(F132,工料机价格!$A$4:$F$36,6,FALSE()),0)</f>
        <v>300</v>
      </c>
      <c r="K132" s="12" t="n">
        <f aca="false">I132*J132</f>
        <v>300</v>
      </c>
      <c r="L132" s="10"/>
      <c r="M132" s="10"/>
      <c r="N132" s="10"/>
      <c r="O132" s="5" t="s">
        <v>561</v>
      </c>
      <c r="P132" s="10"/>
    </row>
    <row r="133" customFormat="false" ht="18" hidden="false" customHeight="false" outlineLevel="0" collapsed="false">
      <c r="A133" s="20" t="n">
        <v>29</v>
      </c>
      <c r="B133" s="20" t="s">
        <v>200</v>
      </c>
      <c r="C133" s="27" t="s">
        <v>201</v>
      </c>
      <c r="D133" s="20" t="s">
        <v>197</v>
      </c>
      <c r="E133" s="20" t="s">
        <v>261</v>
      </c>
      <c r="F133" s="20"/>
      <c r="G133" s="20"/>
      <c r="H133" s="20"/>
      <c r="I133" s="20"/>
      <c r="J133" s="20"/>
      <c r="K133" s="28" t="n">
        <f aca="false">SUM(K134)</f>
        <v>1200</v>
      </c>
      <c r="L133" s="28" t="n">
        <f aca="false">SUMIF(E134,"人工",K134)</f>
        <v>0</v>
      </c>
      <c r="M133" s="28" t="n">
        <f aca="false">SUMIF(E134,"材料",K134)+SUMIF(E134,"外委",K134)</f>
        <v>1200</v>
      </c>
      <c r="N133" s="28" t="n">
        <f aca="false">SUMIF(E134,"机械",K134)</f>
        <v>0</v>
      </c>
      <c r="O133" s="27" t="s">
        <v>262</v>
      </c>
      <c r="P133" s="28" t="n">
        <f aca="false">K133</f>
        <v>1200</v>
      </c>
    </row>
    <row r="134" customFormat="false" ht="18" hidden="false" customHeight="false" outlineLevel="0" collapsed="false">
      <c r="A134" s="10" t="s">
        <v>562</v>
      </c>
      <c r="B134" s="10" t="s">
        <v>200</v>
      </c>
      <c r="C134" s="5" t="s">
        <v>201</v>
      </c>
      <c r="D134" s="10" t="s">
        <v>197</v>
      </c>
      <c r="E134" s="10" t="s">
        <v>508</v>
      </c>
      <c r="F134" s="10" t="s">
        <v>563</v>
      </c>
      <c r="G134" s="5" t="s">
        <v>564</v>
      </c>
      <c r="H134" s="10" t="s">
        <v>197</v>
      </c>
      <c r="I134" s="29" t="n">
        <v>1</v>
      </c>
      <c r="J134" s="11" t="n">
        <f aca="false">IFERROR(VLOOKUP(F134,工料机价格!$A$4:$F$36,6,FALSE()),0)</f>
        <v>1200</v>
      </c>
      <c r="K134" s="12" t="n">
        <f aca="false">I134*J134</f>
        <v>1200</v>
      </c>
      <c r="L134" s="10"/>
      <c r="M134" s="10"/>
      <c r="N134" s="10"/>
      <c r="O134" s="5" t="s">
        <v>565</v>
      </c>
      <c r="P134" s="10"/>
    </row>
    <row r="135" customFormat="false" ht="18" hidden="false" customHeight="false" outlineLevel="0" collapsed="false">
      <c r="A135" s="20" t="n">
        <v>30</v>
      </c>
      <c r="B135" s="20" t="s">
        <v>204</v>
      </c>
      <c r="C135" s="27" t="s">
        <v>205</v>
      </c>
      <c r="D135" s="20" t="s">
        <v>197</v>
      </c>
      <c r="E135" s="20" t="s">
        <v>261</v>
      </c>
      <c r="F135" s="20"/>
      <c r="G135" s="20"/>
      <c r="H135" s="20"/>
      <c r="I135" s="20"/>
      <c r="J135" s="20"/>
      <c r="K135" s="28" t="n">
        <f aca="false">SUM(K136)</f>
        <v>150</v>
      </c>
      <c r="L135" s="28" t="n">
        <f aca="false">SUMIF(E136,"人工",K136)</f>
        <v>0</v>
      </c>
      <c r="M135" s="28" t="n">
        <f aca="false">SUMIF(E136,"材料",K136)+SUMIF(E136,"外委",K136)</f>
        <v>150</v>
      </c>
      <c r="N135" s="28" t="n">
        <f aca="false">SUMIF(E136,"机械",K136)</f>
        <v>0</v>
      </c>
      <c r="O135" s="27" t="s">
        <v>262</v>
      </c>
      <c r="P135" s="28" t="n">
        <f aca="false">K135</f>
        <v>150</v>
      </c>
    </row>
    <row r="136" customFormat="false" ht="18" hidden="false" customHeight="false" outlineLevel="0" collapsed="false">
      <c r="A136" s="10" t="s">
        <v>566</v>
      </c>
      <c r="B136" s="10" t="s">
        <v>204</v>
      </c>
      <c r="C136" s="5" t="s">
        <v>205</v>
      </c>
      <c r="D136" s="10" t="s">
        <v>197</v>
      </c>
      <c r="E136" s="10" t="s">
        <v>508</v>
      </c>
      <c r="F136" s="10" t="s">
        <v>567</v>
      </c>
      <c r="G136" s="5" t="s">
        <v>568</v>
      </c>
      <c r="H136" s="10" t="s">
        <v>197</v>
      </c>
      <c r="I136" s="29" t="n">
        <v>1</v>
      </c>
      <c r="J136" s="11" t="n">
        <f aca="false">IFERROR(VLOOKUP(F136,工料机价格!$A$4:$F$36,6,FALSE()),0)</f>
        <v>150</v>
      </c>
      <c r="K136" s="12" t="n">
        <f aca="false">I136*J136</f>
        <v>150</v>
      </c>
      <c r="L136" s="10"/>
      <c r="M136" s="10"/>
      <c r="N136" s="10"/>
      <c r="O136" s="5" t="s">
        <v>569</v>
      </c>
      <c r="P136" s="10"/>
    </row>
    <row r="137" customFormat="false" ht="18" hidden="false" customHeight="false" outlineLevel="0" collapsed="false">
      <c r="A137" s="20" t="n">
        <v>31</v>
      </c>
      <c r="B137" s="20" t="s">
        <v>208</v>
      </c>
      <c r="C137" s="27" t="s">
        <v>209</v>
      </c>
      <c r="D137" s="20" t="s">
        <v>197</v>
      </c>
      <c r="E137" s="20" t="s">
        <v>261</v>
      </c>
      <c r="F137" s="20"/>
      <c r="G137" s="20"/>
      <c r="H137" s="20"/>
      <c r="I137" s="20"/>
      <c r="J137" s="20"/>
      <c r="K137" s="28" t="n">
        <f aca="false">SUM(K138)</f>
        <v>3500</v>
      </c>
      <c r="L137" s="28" t="n">
        <f aca="false">SUMIF(E138,"人工",K138)</f>
        <v>0</v>
      </c>
      <c r="M137" s="28" t="n">
        <f aca="false">SUMIF(E138,"材料",K138)+SUMIF(E138,"外委",K138)</f>
        <v>3500</v>
      </c>
      <c r="N137" s="28" t="n">
        <f aca="false">SUMIF(E138,"机械",K138)</f>
        <v>0</v>
      </c>
      <c r="O137" s="27" t="s">
        <v>262</v>
      </c>
      <c r="P137" s="28" t="n">
        <f aca="false">K137</f>
        <v>3500</v>
      </c>
    </row>
    <row r="138" customFormat="false" ht="18" hidden="false" customHeight="false" outlineLevel="0" collapsed="false">
      <c r="A138" s="10" t="s">
        <v>570</v>
      </c>
      <c r="B138" s="10" t="s">
        <v>208</v>
      </c>
      <c r="C138" s="5" t="s">
        <v>209</v>
      </c>
      <c r="D138" s="10" t="s">
        <v>197</v>
      </c>
      <c r="E138" s="10" t="s">
        <v>508</v>
      </c>
      <c r="F138" s="10" t="s">
        <v>571</v>
      </c>
      <c r="G138" s="5" t="s">
        <v>572</v>
      </c>
      <c r="H138" s="10" t="s">
        <v>197</v>
      </c>
      <c r="I138" s="29" t="n">
        <v>1</v>
      </c>
      <c r="J138" s="11" t="n">
        <f aca="false">IFERROR(VLOOKUP(F138,工料机价格!$A$4:$F$37,6,FALSE()),0)</f>
        <v>3500</v>
      </c>
      <c r="K138" s="12" t="n">
        <f aca="false">I138*J138</f>
        <v>3500</v>
      </c>
      <c r="L138" s="10"/>
      <c r="M138" s="10"/>
      <c r="N138" s="10"/>
      <c r="O138" s="5" t="s">
        <v>573</v>
      </c>
      <c r="P138" s="10"/>
    </row>
    <row r="139" customFormat="false" ht="18" hidden="false" customHeight="false" outlineLevel="0" collapsed="false">
      <c r="A139" s="20" t="n">
        <v>32</v>
      </c>
      <c r="B139" s="20" t="s">
        <v>101</v>
      </c>
      <c r="C139" s="27" t="s">
        <v>102</v>
      </c>
      <c r="D139" s="20" t="s">
        <v>49</v>
      </c>
      <c r="E139" s="20" t="s">
        <v>261</v>
      </c>
      <c r="F139" s="20"/>
      <c r="G139" s="20"/>
      <c r="H139" s="20"/>
      <c r="I139" s="20"/>
      <c r="J139" s="20"/>
      <c r="K139" s="28" t="n">
        <f aca="false">SUM(K140:K142)</f>
        <v>12639.1</v>
      </c>
      <c r="L139" s="28" t="n">
        <f aca="false">SUMIF(E140:E142,"人工",K140:K142)</f>
        <v>0</v>
      </c>
      <c r="M139" s="28" t="n">
        <f aca="false">SUMIF(E140:E142,"材料",K140:K142)+SUMIF(E140:E142,"外委",K140:K142)</f>
        <v>0</v>
      </c>
      <c r="N139" s="28" t="n">
        <f aca="false">SUMIF(E140:E142,"机械",K140:K142)</f>
        <v>12639.1</v>
      </c>
      <c r="O139" s="27" t="s">
        <v>262</v>
      </c>
      <c r="P139" s="28" t="n">
        <f aca="false">K139</f>
        <v>12639.1</v>
      </c>
    </row>
    <row r="140" customFormat="false" ht="18" hidden="false" customHeight="false" outlineLevel="0" collapsed="false">
      <c r="A140" s="10" t="s">
        <v>574</v>
      </c>
      <c r="B140" s="10" t="s">
        <v>101</v>
      </c>
      <c r="C140" s="5" t="s">
        <v>102</v>
      </c>
      <c r="D140" s="10" t="s">
        <v>49</v>
      </c>
      <c r="E140" s="10" t="s">
        <v>259</v>
      </c>
      <c r="F140" s="10" t="s">
        <v>452</v>
      </c>
      <c r="G140" s="5" t="s">
        <v>453</v>
      </c>
      <c r="H140" s="10" t="s">
        <v>287</v>
      </c>
      <c r="I140" s="29" t="n">
        <v>8</v>
      </c>
      <c r="J140" s="11" t="n">
        <f aca="false">IFERROR(VLOOKUP(F140,工料机价格!$A$4:$F$36,6,FALSE()),0)</f>
        <v>1136.65</v>
      </c>
      <c r="K140" s="12" t="n">
        <f aca="false">I140*J140</f>
        <v>9093.2</v>
      </c>
      <c r="L140" s="10"/>
      <c r="M140" s="10"/>
      <c r="N140" s="10"/>
      <c r="O140" s="5" t="s">
        <v>575</v>
      </c>
      <c r="P140" s="10"/>
    </row>
    <row r="141" customFormat="false" ht="18" hidden="false" customHeight="false" outlineLevel="0" collapsed="false">
      <c r="A141" s="10" t="s">
        <v>576</v>
      </c>
      <c r="B141" s="10" t="s">
        <v>101</v>
      </c>
      <c r="C141" s="5" t="s">
        <v>102</v>
      </c>
      <c r="D141" s="10" t="s">
        <v>49</v>
      </c>
      <c r="E141" s="10" t="s">
        <v>259</v>
      </c>
      <c r="F141" s="10" t="s">
        <v>349</v>
      </c>
      <c r="G141" s="5" t="s">
        <v>350</v>
      </c>
      <c r="H141" s="10" t="s">
        <v>287</v>
      </c>
      <c r="I141" s="29" t="n">
        <v>2</v>
      </c>
      <c r="J141" s="11" t="n">
        <f aca="false">IFERROR(VLOOKUP(F141,工料机价格!$A$4:$F$36,6,FALSE()),0)</f>
        <v>1772.95</v>
      </c>
      <c r="K141" s="12" t="n">
        <f aca="false">I141*J141</f>
        <v>3545.9</v>
      </c>
      <c r="L141" s="10"/>
      <c r="M141" s="10"/>
      <c r="N141" s="10"/>
      <c r="O141" s="5" t="s">
        <v>577</v>
      </c>
      <c r="P141" s="10"/>
    </row>
    <row r="142" customFormat="false" ht="18" hidden="false" customHeight="false" outlineLevel="0" collapsed="false">
      <c r="A142" s="10" t="s">
        <v>578</v>
      </c>
      <c r="B142" s="10" t="s">
        <v>101</v>
      </c>
      <c r="C142" s="5" t="s">
        <v>102</v>
      </c>
      <c r="D142" s="10" t="s">
        <v>49</v>
      </c>
      <c r="E142" s="10" t="s">
        <v>257</v>
      </c>
      <c r="F142" s="10" t="s">
        <v>264</v>
      </c>
      <c r="G142" s="5" t="s">
        <v>265</v>
      </c>
      <c r="H142" s="10" t="s">
        <v>266</v>
      </c>
      <c r="I142" s="29" t="n">
        <v>0</v>
      </c>
      <c r="J142" s="11" t="n">
        <f aca="false">IFERROR(VLOOKUP(F142,工料机价格!$A$4:$F$36,6,FALSE()),0)</f>
        <v>350</v>
      </c>
      <c r="K142" s="12" t="n">
        <f aca="false">I142*J142</f>
        <v>0</v>
      </c>
      <c r="L142" s="10"/>
      <c r="M142" s="10"/>
      <c r="N142" s="10"/>
      <c r="O142" s="5" t="s">
        <v>579</v>
      </c>
      <c r="P142" s="10"/>
    </row>
    <row r="143" customFormat="false" ht="24.75" hidden="false" customHeight="true" outlineLevel="0" collapsed="false">
      <c r="A143" s="13"/>
      <c r="B143" s="13"/>
      <c r="C143" s="13" t="s">
        <v>580</v>
      </c>
      <c r="D143" s="13"/>
      <c r="E143" s="13"/>
      <c r="F143" s="13"/>
      <c r="G143" s="13"/>
      <c r="H143" s="13"/>
      <c r="I143" s="13"/>
      <c r="J143" s="13"/>
      <c r="K143" s="32" t="n">
        <f aca="false">SUMIF(E4:E142,"汇总",K4:K142)</f>
        <v>132179.332722436</v>
      </c>
      <c r="L143" s="32" t="n">
        <f aca="false">SUMIF(E4:E142,"汇总",L4:L142)</f>
        <v>42112.2715384615</v>
      </c>
      <c r="M143" s="32" t="n">
        <f aca="false">SUMIF(E4:E142,"汇总",M4:M142)</f>
        <v>34088.5507461538</v>
      </c>
      <c r="N143" s="32" t="n">
        <f aca="false">SUMIF(E4:E142,"汇总",N4:N142)</f>
        <v>55978.5104378205</v>
      </c>
      <c r="O143" s="13"/>
      <c r="P143" s="13"/>
    </row>
  </sheetData>
  <autoFilter ref="A3:P143"/>
  <mergeCells count="2">
    <mergeCell ref="A1:P1"/>
    <mergeCell ref="A2:P2"/>
  </mergeCells>
  <printOptions headings="false" gridLines="false" gridLinesSet="true" horizontalCentered="false" verticalCentered="false"/>
  <pageMargins left="0.4" right="0.4" top="0.7" bottom="0.5" header="0.5" footer="0.5"/>
  <pageSetup paperSize="8" scale="100" fitToWidth="1" fitToHeight="4" pageOrder="downThenOver" orientation="landscape" blackAndWhite="false" draft="false" cellComments="none" horizontalDpi="300" verticalDpi="300" copies="1"/>
  <headerFooter differentFirst="false" differentOddEven="false">
    <oddHeader>&amp;L&amp;"Calibri,标准"旺平矿业  综合单价</oddHeader>
    <oddFooter>&amp;R&amp;"Calibri,标准"第 &amp;P 页 / 共 &amp;N 页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8" customHeight="false" zeroHeight="false" outlineLevelRow="0" outlineLevelCol="0"/>
  <cols>
    <col collapsed="false" customWidth="true" hidden="false" outlineLevel="0" max="2" min="1" style="0" width="9.1"/>
    <col collapsed="false" customWidth="true" hidden="false" outlineLevel="0" max="3" min="3" style="0" width="21.85"/>
    <col collapsed="false" customWidth="true" hidden="false" outlineLevel="0" max="4" min="4" style="0" width="38.2"/>
    <col collapsed="false" customWidth="true" hidden="false" outlineLevel="0" max="5" min="5" style="0" width="10.92"/>
    <col collapsed="false" customWidth="true" hidden="false" outlineLevel="0" max="6" min="6" style="0" width="18.2"/>
    <col collapsed="false" customWidth="true" hidden="false" outlineLevel="0" max="7" min="7" style="0" width="29.11"/>
    <col collapsed="false" customWidth="true" hidden="false" outlineLevel="0" max="8" min="8" style="0" width="41.85"/>
  </cols>
  <sheetData>
    <row r="1" customFormat="false" ht="21.75" hidden="false" customHeight="true" outlineLevel="0" collapsed="false">
      <c r="A1" s="9" t="s">
        <v>581</v>
      </c>
      <c r="B1" s="9"/>
      <c r="C1" s="9"/>
      <c r="D1" s="9"/>
      <c r="E1" s="9"/>
      <c r="F1" s="9"/>
      <c r="G1" s="9"/>
      <c r="H1" s="9"/>
    </row>
    <row r="2" customFormat="false" ht="27.75" hidden="false" customHeight="true" outlineLevel="0" collapsed="false">
      <c r="A2" s="26" t="s">
        <v>582</v>
      </c>
      <c r="B2" s="26"/>
      <c r="C2" s="26"/>
      <c r="D2" s="26"/>
      <c r="E2" s="26"/>
      <c r="F2" s="26"/>
      <c r="G2" s="26"/>
      <c r="H2" s="26"/>
    </row>
    <row r="3" customFormat="false" ht="27.75" hidden="false" customHeight="true" outlineLevel="0" collapsed="false">
      <c r="A3" s="16" t="s">
        <v>36</v>
      </c>
      <c r="B3" s="16" t="s">
        <v>583</v>
      </c>
      <c r="C3" s="16" t="s">
        <v>584</v>
      </c>
      <c r="D3" s="16" t="s">
        <v>585</v>
      </c>
      <c r="E3" s="16" t="s">
        <v>39</v>
      </c>
      <c r="F3" s="16" t="s">
        <v>586</v>
      </c>
      <c r="G3" s="16" t="s">
        <v>587</v>
      </c>
      <c r="H3" s="16" t="s">
        <v>221</v>
      </c>
    </row>
    <row r="4" customFormat="false" ht="18" hidden="false" customHeight="false" outlineLevel="0" collapsed="false">
      <c r="A4" s="10" t="s">
        <v>542</v>
      </c>
      <c r="B4" s="10" t="s">
        <v>258</v>
      </c>
      <c r="C4" s="5" t="s">
        <v>543</v>
      </c>
      <c r="D4" s="5" t="s">
        <v>588</v>
      </c>
      <c r="E4" s="10" t="s">
        <v>544</v>
      </c>
      <c r="F4" s="33" t="n">
        <v>6.37</v>
      </c>
      <c r="G4" s="5" t="s">
        <v>589</v>
      </c>
      <c r="H4" s="5" t="s">
        <v>590</v>
      </c>
    </row>
    <row r="5" customFormat="false" ht="18" hidden="false" customHeight="false" outlineLevel="0" collapsed="false">
      <c r="A5" s="10" t="s">
        <v>269</v>
      </c>
      <c r="B5" s="10" t="s">
        <v>257</v>
      </c>
      <c r="C5" s="5" t="s">
        <v>270</v>
      </c>
      <c r="D5" s="5" t="s">
        <v>591</v>
      </c>
      <c r="E5" s="10" t="s">
        <v>266</v>
      </c>
      <c r="F5" s="33" t="n">
        <v>300</v>
      </c>
      <c r="G5" s="5" t="s">
        <v>592</v>
      </c>
      <c r="H5" s="5" t="s">
        <v>593</v>
      </c>
    </row>
    <row r="6" customFormat="false" ht="18" hidden="false" customHeight="false" outlineLevel="0" collapsed="false">
      <c r="A6" s="10" t="s">
        <v>264</v>
      </c>
      <c r="B6" s="10" t="s">
        <v>257</v>
      </c>
      <c r="C6" s="5" t="s">
        <v>265</v>
      </c>
      <c r="D6" s="5" t="s">
        <v>594</v>
      </c>
      <c r="E6" s="10" t="s">
        <v>266</v>
      </c>
      <c r="F6" s="33" t="n">
        <v>350</v>
      </c>
      <c r="G6" s="5" t="s">
        <v>595</v>
      </c>
      <c r="H6" s="5" t="s">
        <v>593</v>
      </c>
    </row>
    <row r="7" customFormat="false" ht="18" hidden="false" customHeight="false" outlineLevel="0" collapsed="false">
      <c r="A7" s="10" t="s">
        <v>330</v>
      </c>
      <c r="B7" s="10" t="s">
        <v>259</v>
      </c>
      <c r="C7" s="5" t="s">
        <v>331</v>
      </c>
      <c r="D7" s="5" t="s">
        <v>596</v>
      </c>
      <c r="E7" s="10" t="s">
        <v>287</v>
      </c>
      <c r="F7" s="34" t="n">
        <f aca="false">900+F4*90+F5</f>
        <v>1773.3</v>
      </c>
      <c r="G7" s="5" t="s">
        <v>597</v>
      </c>
      <c r="H7" s="5" t="s">
        <v>598</v>
      </c>
    </row>
    <row r="8" customFormat="false" ht="18" hidden="false" customHeight="false" outlineLevel="0" collapsed="false">
      <c r="A8" s="10" t="s">
        <v>285</v>
      </c>
      <c r="B8" s="10" t="s">
        <v>259</v>
      </c>
      <c r="C8" s="5" t="s">
        <v>286</v>
      </c>
      <c r="D8" s="5" t="s">
        <v>599</v>
      </c>
      <c r="E8" s="10" t="s">
        <v>287</v>
      </c>
      <c r="F8" s="34" t="n">
        <f aca="false">700+F4*70+F5</f>
        <v>1445.9</v>
      </c>
      <c r="G8" s="5" t="s">
        <v>597</v>
      </c>
      <c r="H8" s="5" t="s">
        <v>600</v>
      </c>
    </row>
    <row r="9" customFormat="false" ht="18" hidden="false" customHeight="false" outlineLevel="0" collapsed="false">
      <c r="A9" s="10" t="s">
        <v>452</v>
      </c>
      <c r="B9" s="10" t="s">
        <v>259</v>
      </c>
      <c r="C9" s="5" t="s">
        <v>453</v>
      </c>
      <c r="D9" s="5" t="s">
        <v>601</v>
      </c>
      <c r="E9" s="10" t="s">
        <v>287</v>
      </c>
      <c r="F9" s="34" t="n">
        <f aca="false">550+F4*45+F5</f>
        <v>1136.65</v>
      </c>
      <c r="G9" s="5" t="s">
        <v>597</v>
      </c>
      <c r="H9" s="5" t="s">
        <v>602</v>
      </c>
    </row>
    <row r="10" customFormat="false" ht="18" hidden="false" customHeight="false" outlineLevel="0" collapsed="false">
      <c r="A10" s="10" t="s">
        <v>290</v>
      </c>
      <c r="B10" s="10" t="s">
        <v>259</v>
      </c>
      <c r="C10" s="5" t="s">
        <v>291</v>
      </c>
      <c r="D10" s="5" t="s">
        <v>603</v>
      </c>
      <c r="E10" s="10" t="s">
        <v>287</v>
      </c>
      <c r="F10" s="34" t="n">
        <f aca="false">500+F4*40+F5</f>
        <v>1054.8</v>
      </c>
      <c r="G10" s="5" t="s">
        <v>597</v>
      </c>
      <c r="H10" s="5" t="s">
        <v>604</v>
      </c>
    </row>
    <row r="11" customFormat="false" ht="18" hidden="false" customHeight="false" outlineLevel="0" collapsed="false">
      <c r="A11" s="10" t="s">
        <v>349</v>
      </c>
      <c r="B11" s="10" t="s">
        <v>259</v>
      </c>
      <c r="C11" s="5" t="s">
        <v>350</v>
      </c>
      <c r="D11" s="5" t="s">
        <v>605</v>
      </c>
      <c r="E11" s="10" t="s">
        <v>287</v>
      </c>
      <c r="F11" s="34" t="n">
        <f aca="false">1200+F4*35+F6</f>
        <v>1772.95</v>
      </c>
      <c r="G11" s="5" t="s">
        <v>597</v>
      </c>
      <c r="H11" s="5" t="s">
        <v>606</v>
      </c>
    </row>
    <row r="12" customFormat="false" ht="18" hidden="false" customHeight="false" outlineLevel="0" collapsed="false">
      <c r="A12" s="10" t="s">
        <v>418</v>
      </c>
      <c r="B12" s="10" t="s">
        <v>259</v>
      </c>
      <c r="C12" s="5" t="s">
        <v>419</v>
      </c>
      <c r="D12" s="5" t="s">
        <v>607</v>
      </c>
      <c r="E12" s="10" t="s">
        <v>287</v>
      </c>
      <c r="F12" s="34" t="n">
        <f aca="false">800+F4*50</f>
        <v>1118.5</v>
      </c>
      <c r="G12" s="5" t="s">
        <v>597</v>
      </c>
      <c r="H12" s="5" t="s">
        <v>608</v>
      </c>
    </row>
    <row r="13" customFormat="false" ht="18" hidden="false" customHeight="false" outlineLevel="0" collapsed="false">
      <c r="A13" s="10" t="s">
        <v>442</v>
      </c>
      <c r="B13" s="10" t="s">
        <v>259</v>
      </c>
      <c r="C13" s="5" t="s">
        <v>443</v>
      </c>
      <c r="D13" s="5" t="s">
        <v>609</v>
      </c>
      <c r="E13" s="10" t="s">
        <v>287</v>
      </c>
      <c r="F13" s="34" t="n">
        <f aca="false">40+0.89*7.5*6</f>
        <v>80.05</v>
      </c>
      <c r="G13" s="5" t="s">
        <v>597</v>
      </c>
      <c r="H13" s="5" t="s">
        <v>610</v>
      </c>
    </row>
    <row r="14" customFormat="false" ht="18" hidden="false" customHeight="false" outlineLevel="0" collapsed="false">
      <c r="A14" s="10" t="s">
        <v>281</v>
      </c>
      <c r="B14" s="10" t="s">
        <v>258</v>
      </c>
      <c r="C14" s="5" t="s">
        <v>282</v>
      </c>
      <c r="D14" s="5" t="s">
        <v>611</v>
      </c>
      <c r="E14" s="10" t="s">
        <v>122</v>
      </c>
      <c r="F14" s="33" t="n">
        <v>345</v>
      </c>
      <c r="G14" s="5" t="s">
        <v>612</v>
      </c>
      <c r="H14" s="5" t="s">
        <v>613</v>
      </c>
    </row>
    <row r="15" customFormat="false" ht="18" hidden="false" customHeight="false" outlineLevel="0" collapsed="false">
      <c r="A15" s="10" t="s">
        <v>345</v>
      </c>
      <c r="B15" s="10" t="s">
        <v>258</v>
      </c>
      <c r="C15" s="5" t="s">
        <v>346</v>
      </c>
      <c r="D15" s="5" t="s">
        <v>614</v>
      </c>
      <c r="E15" s="10" t="s">
        <v>78</v>
      </c>
      <c r="F15" s="33" t="n">
        <v>12</v>
      </c>
      <c r="G15" s="5" t="s">
        <v>615</v>
      </c>
      <c r="H15" s="5" t="s">
        <v>593</v>
      </c>
    </row>
    <row r="16" customFormat="false" ht="18" hidden="false" customHeight="false" outlineLevel="0" collapsed="false">
      <c r="A16" s="10" t="s">
        <v>359</v>
      </c>
      <c r="B16" s="10" t="s">
        <v>258</v>
      </c>
      <c r="C16" s="5" t="s">
        <v>360</v>
      </c>
      <c r="D16" s="5" t="s">
        <v>616</v>
      </c>
      <c r="E16" s="10" t="s">
        <v>78</v>
      </c>
      <c r="F16" s="33" t="n">
        <v>5</v>
      </c>
      <c r="G16" s="5" t="s">
        <v>617</v>
      </c>
      <c r="H16" s="5" t="s">
        <v>593</v>
      </c>
    </row>
    <row r="17" customFormat="false" ht="18" hidden="false" customHeight="false" outlineLevel="0" collapsed="false">
      <c r="A17" s="10" t="s">
        <v>304</v>
      </c>
      <c r="B17" s="10" t="s">
        <v>258</v>
      </c>
      <c r="C17" s="5" t="s">
        <v>305</v>
      </c>
      <c r="D17" s="5" t="s">
        <v>618</v>
      </c>
      <c r="E17" s="10" t="s">
        <v>148</v>
      </c>
      <c r="F17" s="33" t="n">
        <v>3039.18</v>
      </c>
      <c r="G17" s="5" t="s">
        <v>619</v>
      </c>
      <c r="H17" s="5" t="s">
        <v>620</v>
      </c>
    </row>
    <row r="18" customFormat="false" ht="18" hidden="false" customHeight="false" outlineLevel="0" collapsed="false">
      <c r="A18" s="10" t="s">
        <v>319</v>
      </c>
      <c r="B18" s="10" t="s">
        <v>258</v>
      </c>
      <c r="C18" s="5" t="s">
        <v>320</v>
      </c>
      <c r="D18" s="5" t="s">
        <v>621</v>
      </c>
      <c r="E18" s="10" t="s">
        <v>321</v>
      </c>
      <c r="F18" s="33" t="n">
        <v>330</v>
      </c>
      <c r="G18" s="5" t="s">
        <v>622</v>
      </c>
      <c r="H18" s="5" t="s">
        <v>623</v>
      </c>
    </row>
    <row r="19" customFormat="false" ht="18" hidden="false" customHeight="false" outlineLevel="0" collapsed="false">
      <c r="A19" s="10" t="s">
        <v>324</v>
      </c>
      <c r="B19" s="10" t="s">
        <v>258</v>
      </c>
      <c r="C19" s="5" t="s">
        <v>325</v>
      </c>
      <c r="D19" s="5" t="s">
        <v>624</v>
      </c>
      <c r="E19" s="10" t="s">
        <v>148</v>
      </c>
      <c r="F19" s="33" t="n">
        <v>215</v>
      </c>
      <c r="G19" s="5" t="s">
        <v>625</v>
      </c>
      <c r="H19" s="5" t="s">
        <v>593</v>
      </c>
    </row>
    <row r="20" customFormat="false" ht="18" hidden="false" customHeight="false" outlineLevel="0" collapsed="false">
      <c r="A20" s="10" t="s">
        <v>277</v>
      </c>
      <c r="B20" s="10" t="s">
        <v>258</v>
      </c>
      <c r="C20" s="5" t="s">
        <v>278</v>
      </c>
      <c r="D20" s="5" t="s">
        <v>626</v>
      </c>
      <c r="E20" s="10" t="s">
        <v>122</v>
      </c>
      <c r="F20" s="33" t="n">
        <v>78</v>
      </c>
      <c r="G20" s="5" t="s">
        <v>627</v>
      </c>
      <c r="H20" s="5" t="s">
        <v>628</v>
      </c>
    </row>
    <row r="21" customFormat="false" ht="18" hidden="false" customHeight="false" outlineLevel="0" collapsed="false">
      <c r="A21" s="10" t="s">
        <v>371</v>
      </c>
      <c r="B21" s="10" t="s">
        <v>258</v>
      </c>
      <c r="C21" s="5" t="s">
        <v>372</v>
      </c>
      <c r="D21" s="5" t="s">
        <v>629</v>
      </c>
      <c r="E21" s="10" t="s">
        <v>78</v>
      </c>
      <c r="F21" s="33" t="n">
        <v>32</v>
      </c>
      <c r="G21" s="5" t="s">
        <v>627</v>
      </c>
      <c r="H21" s="5" t="s">
        <v>630</v>
      </c>
    </row>
    <row r="22" customFormat="false" ht="18" hidden="false" customHeight="false" outlineLevel="0" collapsed="false">
      <c r="A22" s="10" t="s">
        <v>381</v>
      </c>
      <c r="B22" s="10" t="s">
        <v>258</v>
      </c>
      <c r="C22" s="5" t="s">
        <v>382</v>
      </c>
      <c r="D22" s="5" t="s">
        <v>631</v>
      </c>
      <c r="E22" s="10" t="s">
        <v>78</v>
      </c>
      <c r="F22" s="33" t="n">
        <v>2.5</v>
      </c>
      <c r="G22" s="5" t="s">
        <v>627</v>
      </c>
      <c r="H22" s="5" t="s">
        <v>632</v>
      </c>
    </row>
    <row r="23" customFormat="false" ht="18" hidden="false" customHeight="false" outlineLevel="0" collapsed="false">
      <c r="A23" s="10" t="s">
        <v>411</v>
      </c>
      <c r="B23" s="10" t="s">
        <v>258</v>
      </c>
      <c r="C23" s="5" t="s">
        <v>412</v>
      </c>
      <c r="D23" s="5" t="s">
        <v>633</v>
      </c>
      <c r="E23" s="10" t="s">
        <v>413</v>
      </c>
      <c r="F23" s="33" t="n">
        <v>180</v>
      </c>
      <c r="G23" s="5" t="s">
        <v>627</v>
      </c>
      <c r="H23" s="5" t="s">
        <v>634</v>
      </c>
    </row>
    <row r="24" customFormat="false" ht="18" hidden="false" customHeight="false" outlineLevel="0" collapsed="false">
      <c r="A24" s="10" t="s">
        <v>434</v>
      </c>
      <c r="B24" s="10" t="s">
        <v>258</v>
      </c>
      <c r="C24" s="5" t="s">
        <v>435</v>
      </c>
      <c r="D24" s="5" t="s">
        <v>635</v>
      </c>
      <c r="E24" s="10" t="s">
        <v>56</v>
      </c>
      <c r="F24" s="33" t="n">
        <v>85</v>
      </c>
      <c r="G24" s="5" t="s">
        <v>627</v>
      </c>
      <c r="H24" s="5" t="s">
        <v>636</v>
      </c>
    </row>
    <row r="25" customFormat="false" ht="18" hidden="false" customHeight="false" outlineLevel="0" collapsed="false">
      <c r="A25" s="10" t="s">
        <v>468</v>
      </c>
      <c r="B25" s="10" t="s">
        <v>258</v>
      </c>
      <c r="C25" s="5" t="s">
        <v>469</v>
      </c>
      <c r="D25" s="5" t="s">
        <v>637</v>
      </c>
      <c r="E25" s="10" t="s">
        <v>148</v>
      </c>
      <c r="F25" s="33" t="n">
        <v>1100</v>
      </c>
      <c r="G25" s="5" t="s">
        <v>638</v>
      </c>
      <c r="H25" s="5" t="s">
        <v>593</v>
      </c>
    </row>
    <row r="26" customFormat="false" ht="18" hidden="false" customHeight="false" outlineLevel="0" collapsed="false">
      <c r="A26" s="10" t="s">
        <v>472</v>
      </c>
      <c r="B26" s="10" t="s">
        <v>258</v>
      </c>
      <c r="C26" s="5" t="s">
        <v>473</v>
      </c>
      <c r="D26" s="5" t="s">
        <v>639</v>
      </c>
      <c r="E26" s="10" t="s">
        <v>148</v>
      </c>
      <c r="F26" s="33" t="n">
        <v>7000</v>
      </c>
      <c r="G26" s="5" t="s">
        <v>640</v>
      </c>
      <c r="H26" s="5" t="s">
        <v>593</v>
      </c>
    </row>
    <row r="27" customFormat="false" ht="18" hidden="false" customHeight="false" outlineLevel="0" collapsed="false">
      <c r="A27" s="10" t="s">
        <v>509</v>
      </c>
      <c r="B27" s="10" t="s">
        <v>508</v>
      </c>
      <c r="C27" s="5" t="s">
        <v>152</v>
      </c>
      <c r="D27" s="5" t="s">
        <v>641</v>
      </c>
      <c r="E27" s="10" t="s">
        <v>148</v>
      </c>
      <c r="F27" s="33" t="n">
        <v>190</v>
      </c>
      <c r="G27" s="5" t="s">
        <v>642</v>
      </c>
      <c r="H27" s="5" t="s">
        <v>643</v>
      </c>
    </row>
    <row r="28" customFormat="false" ht="18" hidden="false" customHeight="false" outlineLevel="0" collapsed="false">
      <c r="A28" s="10" t="s">
        <v>512</v>
      </c>
      <c r="B28" s="10" t="s">
        <v>508</v>
      </c>
      <c r="C28" s="5" t="s">
        <v>157</v>
      </c>
      <c r="D28" s="5" t="s">
        <v>644</v>
      </c>
      <c r="E28" s="10" t="s">
        <v>122</v>
      </c>
      <c r="F28" s="33" t="n">
        <v>45</v>
      </c>
      <c r="G28" s="5" t="s">
        <v>645</v>
      </c>
      <c r="H28" s="5" t="s">
        <v>646</v>
      </c>
    </row>
    <row r="29" customFormat="false" ht="18" hidden="false" customHeight="false" outlineLevel="0" collapsed="false">
      <c r="A29" s="10" t="s">
        <v>504</v>
      </c>
      <c r="B29" s="10" t="s">
        <v>258</v>
      </c>
      <c r="C29" s="5" t="s">
        <v>505</v>
      </c>
      <c r="D29" s="5" t="s">
        <v>647</v>
      </c>
      <c r="E29" s="10" t="s">
        <v>148</v>
      </c>
      <c r="F29" s="33" t="n">
        <v>12</v>
      </c>
      <c r="G29" s="5" t="s">
        <v>648</v>
      </c>
      <c r="H29" s="5" t="s">
        <v>593</v>
      </c>
    </row>
    <row r="30" customFormat="false" ht="28.5" hidden="false" customHeight="true" outlineLevel="0" collapsed="false">
      <c r="A30" s="10" t="s">
        <v>535</v>
      </c>
      <c r="B30" s="10" t="s">
        <v>508</v>
      </c>
      <c r="C30" s="5" t="s">
        <v>536</v>
      </c>
      <c r="D30" s="5" t="s">
        <v>649</v>
      </c>
      <c r="E30" s="10" t="s">
        <v>122</v>
      </c>
      <c r="F30" s="33" t="n">
        <v>75</v>
      </c>
      <c r="G30" s="5" t="s">
        <v>650</v>
      </c>
      <c r="H30" s="5" t="s">
        <v>651</v>
      </c>
    </row>
    <row r="31" customFormat="false" ht="18" hidden="false" customHeight="false" outlineLevel="0" collapsed="false">
      <c r="A31" s="10" t="s">
        <v>551</v>
      </c>
      <c r="B31" s="10" t="s">
        <v>508</v>
      </c>
      <c r="C31" s="5" t="s">
        <v>552</v>
      </c>
      <c r="D31" s="5" t="s">
        <v>188</v>
      </c>
      <c r="E31" s="10" t="s">
        <v>188</v>
      </c>
      <c r="F31" s="33" t="n">
        <v>750</v>
      </c>
      <c r="G31" s="5" t="s">
        <v>552</v>
      </c>
      <c r="H31" s="5" t="s">
        <v>593</v>
      </c>
    </row>
    <row r="32" customFormat="false" ht="18" hidden="false" customHeight="false" outlineLevel="0" collapsed="false">
      <c r="A32" s="10" t="s">
        <v>555</v>
      </c>
      <c r="B32" s="10" t="s">
        <v>508</v>
      </c>
      <c r="C32" s="5" t="s">
        <v>556</v>
      </c>
      <c r="D32" s="5" t="s">
        <v>188</v>
      </c>
      <c r="E32" s="10" t="s">
        <v>188</v>
      </c>
      <c r="F32" s="33" t="n">
        <v>200</v>
      </c>
      <c r="G32" s="5" t="s">
        <v>556</v>
      </c>
      <c r="H32" s="5" t="s">
        <v>593</v>
      </c>
    </row>
    <row r="33" customFormat="false" ht="18" hidden="false" customHeight="false" outlineLevel="0" collapsed="false">
      <c r="A33" s="10" t="s">
        <v>559</v>
      </c>
      <c r="B33" s="10" t="s">
        <v>508</v>
      </c>
      <c r="C33" s="5" t="s">
        <v>560</v>
      </c>
      <c r="D33" s="5" t="s">
        <v>197</v>
      </c>
      <c r="E33" s="10" t="s">
        <v>197</v>
      </c>
      <c r="F33" s="33" t="n">
        <v>300</v>
      </c>
      <c r="G33" s="5" t="s">
        <v>652</v>
      </c>
      <c r="H33" s="5" t="s">
        <v>593</v>
      </c>
    </row>
    <row r="34" customFormat="false" ht="18" hidden="false" customHeight="false" outlineLevel="0" collapsed="false">
      <c r="A34" s="10" t="s">
        <v>563</v>
      </c>
      <c r="B34" s="10" t="s">
        <v>508</v>
      </c>
      <c r="C34" s="5" t="s">
        <v>564</v>
      </c>
      <c r="D34" s="5" t="s">
        <v>197</v>
      </c>
      <c r="E34" s="10" t="s">
        <v>197</v>
      </c>
      <c r="F34" s="33" t="n">
        <v>1200</v>
      </c>
      <c r="G34" s="5" t="s">
        <v>564</v>
      </c>
      <c r="H34" s="5" t="s">
        <v>593</v>
      </c>
    </row>
    <row r="35" customFormat="false" ht="18" hidden="false" customHeight="false" outlineLevel="0" collapsed="false">
      <c r="A35" s="10" t="s">
        <v>567</v>
      </c>
      <c r="B35" s="10" t="s">
        <v>508</v>
      </c>
      <c r="C35" s="5" t="s">
        <v>568</v>
      </c>
      <c r="D35" s="5" t="s">
        <v>653</v>
      </c>
      <c r="E35" s="10" t="s">
        <v>197</v>
      </c>
      <c r="F35" s="33" t="n">
        <v>150</v>
      </c>
      <c r="G35" s="5" t="s">
        <v>654</v>
      </c>
      <c r="H35" s="5" t="s">
        <v>593</v>
      </c>
    </row>
    <row r="36" customFormat="false" ht="18" hidden="false" customHeight="false" outlineLevel="0" collapsed="false">
      <c r="A36" s="10" t="s">
        <v>495</v>
      </c>
      <c r="B36" s="10" t="s">
        <v>259</v>
      </c>
      <c r="C36" s="5" t="s">
        <v>496</v>
      </c>
      <c r="D36" s="5" t="s">
        <v>655</v>
      </c>
      <c r="E36" s="10" t="s">
        <v>656</v>
      </c>
      <c r="F36" s="35" t="n">
        <f aca="false">0.64*F4/12</f>
        <v>0.339733333333333</v>
      </c>
      <c r="G36" s="5" t="s">
        <v>657</v>
      </c>
      <c r="H36" s="5" t="s">
        <v>658</v>
      </c>
    </row>
    <row r="37" customFormat="false" ht="15" hidden="false" customHeight="true" outlineLevel="0" collapsed="false">
      <c r="A37" s="10" t="s">
        <v>571</v>
      </c>
      <c r="B37" s="10" t="s">
        <v>508</v>
      </c>
      <c r="C37" s="5" t="s">
        <v>572</v>
      </c>
      <c r="D37" s="5" t="s">
        <v>659</v>
      </c>
      <c r="E37" s="10" t="s">
        <v>197</v>
      </c>
      <c r="F37" s="36" t="n">
        <v>3500</v>
      </c>
      <c r="G37" s="5" t="s">
        <v>660</v>
      </c>
      <c r="H37" s="5" t="s">
        <v>593</v>
      </c>
    </row>
    <row r="38" customFormat="false" ht="15" hidden="false" customHeight="true" outlineLevel="0" collapsed="false">
      <c r="A38" s="10" t="s">
        <v>661</v>
      </c>
      <c r="B38" s="10" t="s">
        <v>258</v>
      </c>
      <c r="C38" s="5" t="s">
        <v>662</v>
      </c>
      <c r="D38" s="5" t="s">
        <v>663</v>
      </c>
      <c r="E38" s="10" t="s">
        <v>78</v>
      </c>
      <c r="F38" s="33" t="n">
        <v>5.93333333333333</v>
      </c>
      <c r="G38" s="5" t="s">
        <v>664</v>
      </c>
      <c r="H38" s="5" t="s">
        <v>665</v>
      </c>
    </row>
    <row r="39" customFormat="false" ht="24.75" hidden="false" customHeight="true" outlineLevel="0" collapsed="false">
      <c r="A39" s="10" t="s">
        <v>389</v>
      </c>
      <c r="B39" s="10" t="s">
        <v>258</v>
      </c>
      <c r="C39" s="5" t="s">
        <v>390</v>
      </c>
      <c r="D39" s="5" t="s">
        <v>666</v>
      </c>
      <c r="E39" s="10" t="s">
        <v>78</v>
      </c>
      <c r="F39" s="33" t="n">
        <v>180</v>
      </c>
      <c r="G39" s="5" t="s">
        <v>667</v>
      </c>
      <c r="H39" s="5" t="s">
        <v>668</v>
      </c>
    </row>
    <row r="40" customFormat="false" ht="15" hidden="false" customHeight="true" outlineLevel="0" collapsed="false">
      <c r="A40" s="10" t="s">
        <v>430</v>
      </c>
      <c r="B40" s="10" t="s">
        <v>259</v>
      </c>
      <c r="C40" s="5" t="s">
        <v>431</v>
      </c>
      <c r="D40" s="5" t="s">
        <v>669</v>
      </c>
      <c r="E40" s="10" t="s">
        <v>287</v>
      </c>
      <c r="F40" s="33" t="n">
        <f aca="false">2500+F4*60+F5</f>
        <v>3182.2</v>
      </c>
      <c r="G40" s="5" t="s">
        <v>597</v>
      </c>
      <c r="H40" s="5" t="s">
        <v>670</v>
      </c>
    </row>
    <row r="41" customFormat="false" ht="15" hidden="false" customHeight="true" outlineLevel="0" collapsed="false">
      <c r="A41" s="10" t="s">
        <v>547</v>
      </c>
      <c r="B41" s="10" t="s">
        <v>259</v>
      </c>
      <c r="C41" s="5" t="s">
        <v>548</v>
      </c>
      <c r="D41" s="5" t="s">
        <v>671</v>
      </c>
      <c r="E41" s="10" t="s">
        <v>287</v>
      </c>
      <c r="F41" s="33" t="n">
        <f aca="false">350+F4*25+F5</f>
        <v>809.25</v>
      </c>
      <c r="G41" s="5" t="s">
        <v>597</v>
      </c>
      <c r="H41" s="5" t="s">
        <v>672</v>
      </c>
    </row>
    <row r="42" customFormat="false" ht="15" hidden="false" customHeight="true" outlineLevel="0" collapsed="false">
      <c r="A42" s="10" t="s">
        <v>308</v>
      </c>
      <c r="B42" s="10" t="s">
        <v>258</v>
      </c>
      <c r="C42" s="5" t="s">
        <v>309</v>
      </c>
      <c r="D42" s="5" t="s">
        <v>673</v>
      </c>
      <c r="E42" s="10" t="s">
        <v>78</v>
      </c>
      <c r="F42" s="33" t="n">
        <v>280</v>
      </c>
      <c r="G42" s="5" t="s">
        <v>627</v>
      </c>
      <c r="H42" s="5" t="s">
        <v>674</v>
      </c>
    </row>
    <row r="43" customFormat="false" ht="15" hidden="false" customHeight="true" outlineLevel="0" collapsed="false">
      <c r="A43" s="10" t="s">
        <v>312</v>
      </c>
      <c r="B43" s="10" t="s">
        <v>258</v>
      </c>
      <c r="C43" s="5" t="s">
        <v>313</v>
      </c>
      <c r="D43" s="5" t="s">
        <v>675</v>
      </c>
      <c r="E43" s="10" t="s">
        <v>314</v>
      </c>
      <c r="F43" s="33" t="n">
        <v>8000</v>
      </c>
      <c r="G43" s="5" t="s">
        <v>627</v>
      </c>
      <c r="H43" s="5" t="s">
        <v>676</v>
      </c>
    </row>
    <row r="44" customFormat="false" ht="15" hidden="false" customHeight="true" outlineLevel="0" collapsed="false">
      <c r="A44" s="10" t="s">
        <v>298</v>
      </c>
      <c r="B44" s="10" t="s">
        <v>258</v>
      </c>
      <c r="C44" s="5" t="s">
        <v>299</v>
      </c>
      <c r="D44" s="5" t="s">
        <v>677</v>
      </c>
      <c r="E44" s="10" t="s">
        <v>62</v>
      </c>
      <c r="F44" s="34" t="n">
        <f aca="false">1.83*F18+1.8*F19</f>
        <v>990.9</v>
      </c>
      <c r="G44" s="5" t="s">
        <v>678</v>
      </c>
      <c r="H44" s="5" t="s">
        <v>679</v>
      </c>
    </row>
    <row r="45" customFormat="false" ht="15" hidden="false" customHeight="true" outlineLevel="0" collapsed="false">
      <c r="A45" s="10" t="s">
        <v>404</v>
      </c>
      <c r="B45" s="10" t="s">
        <v>258</v>
      </c>
      <c r="C45" s="5" t="s">
        <v>405</v>
      </c>
      <c r="D45" s="5" t="s">
        <v>680</v>
      </c>
      <c r="E45" s="10" t="s">
        <v>148</v>
      </c>
      <c r="F45" s="34" t="n">
        <f aca="false">3400</f>
        <v>3400</v>
      </c>
      <c r="G45" s="5" t="s">
        <v>681</v>
      </c>
      <c r="H45" s="5" t="s">
        <v>682</v>
      </c>
    </row>
    <row r="46" customFormat="false" ht="15" hidden="false" customHeight="true" outlineLevel="0" collapsed="false">
      <c r="A46" s="10" t="s">
        <v>339</v>
      </c>
      <c r="B46" s="10" t="s">
        <v>258</v>
      </c>
      <c r="C46" s="5" t="s">
        <v>340</v>
      </c>
      <c r="D46" s="5" t="s">
        <v>683</v>
      </c>
      <c r="E46" s="10" t="s">
        <v>49</v>
      </c>
      <c r="F46" s="34" t="n">
        <f aca="false">6.87*F18+7.5*F19</f>
        <v>3879.6</v>
      </c>
      <c r="G46" s="5" t="s">
        <v>684</v>
      </c>
      <c r="H46" s="5" t="s">
        <v>685</v>
      </c>
    </row>
    <row r="47" customFormat="false" ht="15" hidden="false" customHeight="true" outlineLevel="0" collapsed="false">
      <c r="A47" s="10" t="s">
        <v>686</v>
      </c>
      <c r="B47" s="10" t="s">
        <v>258</v>
      </c>
      <c r="C47" s="5" t="s">
        <v>687</v>
      </c>
      <c r="D47" s="5" t="s">
        <v>688</v>
      </c>
      <c r="E47" s="10" t="s">
        <v>689</v>
      </c>
      <c r="F47" s="33" t="n">
        <v>0.8</v>
      </c>
      <c r="G47" s="5" t="s">
        <v>627</v>
      </c>
      <c r="H47" s="5" t="s">
        <v>690</v>
      </c>
    </row>
    <row r="48" customFormat="false" ht="15" hidden="false" customHeight="true" outlineLevel="0" collapsed="false">
      <c r="A48" s="10" t="s">
        <v>463</v>
      </c>
      <c r="B48" s="10" t="s">
        <v>258</v>
      </c>
      <c r="C48" s="5" t="s">
        <v>464</v>
      </c>
      <c r="D48" s="5" t="s">
        <v>691</v>
      </c>
      <c r="E48" s="10" t="s">
        <v>49</v>
      </c>
      <c r="F48" s="34" t="n">
        <f aca="false">200*F47+0.5*F13</f>
        <v>200.025</v>
      </c>
      <c r="G48" s="5" t="s">
        <v>692</v>
      </c>
      <c r="H48" s="5" t="s">
        <v>693</v>
      </c>
    </row>
    <row r="49" customFormat="false" ht="15" hidden="false" customHeight="true" outlineLevel="0" collapsed="false">
      <c r="A49" s="10" t="s">
        <v>426</v>
      </c>
      <c r="B49" s="10" t="s">
        <v>258</v>
      </c>
      <c r="C49" s="5" t="s">
        <v>427</v>
      </c>
      <c r="D49" s="5" t="s">
        <v>694</v>
      </c>
      <c r="E49" s="10" t="s">
        <v>413</v>
      </c>
      <c r="F49" s="33" t="n">
        <v>70</v>
      </c>
      <c r="G49" s="5" t="s">
        <v>695</v>
      </c>
      <c r="H49" s="5" t="s">
        <v>696</v>
      </c>
    </row>
    <row r="50" customFormat="false" ht="18" hidden="false" customHeight="false" outlineLevel="0" collapsed="false">
      <c r="A50" s="10" t="s">
        <v>500</v>
      </c>
      <c r="B50" s="10" t="s">
        <v>259</v>
      </c>
      <c r="C50" s="5" t="s">
        <v>501</v>
      </c>
      <c r="D50" s="5" t="s">
        <v>697</v>
      </c>
      <c r="E50" s="10" t="s">
        <v>698</v>
      </c>
      <c r="F50" s="35" t="n">
        <f aca="false">(400+F5)/12</f>
        <v>58.3333333333333</v>
      </c>
      <c r="G50" s="5" t="s">
        <v>699</v>
      </c>
      <c r="H50" s="5" t="s">
        <v>700</v>
      </c>
    </row>
  </sheetData>
  <autoFilter ref="A3:H49"/>
  <mergeCells count="2">
    <mergeCell ref="A1:H1"/>
    <mergeCell ref="A2:H2"/>
  </mergeCells>
  <printOptions headings="false" gridLines="false" gridLinesSet="true" horizontalCentered="false" verticalCentered="false"/>
  <pageMargins left="0.4" right="0.4" top="0.7" bottom="0.5" header="0.5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&amp;L&amp;"Calibri,标准"旺平矿业  工料机价格</oddHeader>
    <oddFooter>&amp;R&amp;"Calibri,标准"第 &amp;P 页 / 共 &amp;N 页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H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8" customHeight="false" zeroHeight="false" outlineLevelRow="0" outlineLevelCol="0"/>
  <cols>
    <col collapsed="false" customWidth="true" hidden="false" outlineLevel="0" max="1" min="1" style="0" width="9.1"/>
    <col collapsed="false" customWidth="true" hidden="false" outlineLevel="0" max="2" min="2" style="0" width="20.01"/>
    <col collapsed="false" customWidth="true" hidden="false" outlineLevel="0" max="3" min="3" style="0" width="12.74"/>
    <col collapsed="false" customWidth="true" hidden="false" outlineLevel="0" max="4" min="4" style="0" width="9.1"/>
    <col collapsed="false" customWidth="true" hidden="false" outlineLevel="0" max="5" min="5" style="0" width="32.76"/>
    <col collapsed="false" customWidth="true" hidden="false" outlineLevel="0" max="6" min="6" style="0" width="20.01"/>
    <col collapsed="false" customWidth="true" hidden="false" outlineLevel="0" max="7" min="7" style="0" width="12.74"/>
    <col collapsed="false" customWidth="true" hidden="false" outlineLevel="0" max="8" min="8" style="0" width="29.11"/>
  </cols>
  <sheetData>
    <row r="1" customFormat="false" ht="16.5" hidden="false" customHeight="true" outlineLevel="0" collapsed="false">
      <c r="A1" s="9" t="s">
        <v>701</v>
      </c>
      <c r="B1" s="9"/>
      <c r="C1" s="9"/>
      <c r="D1" s="9"/>
      <c r="E1" s="9"/>
      <c r="F1" s="9"/>
      <c r="G1" s="9"/>
      <c r="H1" s="9"/>
    </row>
    <row r="2" customFormat="false" ht="15" hidden="false" customHeight="true" outlineLevel="0" collapsed="false">
      <c r="A2" s="26" t="s">
        <v>702</v>
      </c>
      <c r="B2" s="26"/>
      <c r="C2" s="26"/>
      <c r="D2" s="26"/>
      <c r="E2" s="26"/>
      <c r="F2" s="26"/>
      <c r="G2" s="26"/>
      <c r="H2" s="26"/>
    </row>
    <row r="3" customFormat="false" ht="27.75" hidden="false" customHeight="true" outlineLevel="0" collapsed="false">
      <c r="A3" s="4" t="s">
        <v>36</v>
      </c>
      <c r="B3" s="4" t="s">
        <v>584</v>
      </c>
      <c r="C3" s="4" t="s">
        <v>703</v>
      </c>
      <c r="D3" s="4" t="s">
        <v>39</v>
      </c>
      <c r="E3" s="4" t="s">
        <v>704</v>
      </c>
      <c r="F3" s="4" t="s">
        <v>587</v>
      </c>
      <c r="G3" s="4" t="s">
        <v>705</v>
      </c>
      <c r="H3" s="4" t="s">
        <v>221</v>
      </c>
    </row>
    <row r="4" customFormat="false" ht="18" hidden="false" customHeight="false" outlineLevel="0" collapsed="false">
      <c r="A4" s="10" t="s">
        <v>124</v>
      </c>
      <c r="B4" s="5" t="s">
        <v>706</v>
      </c>
      <c r="C4" s="33" t="n">
        <v>43229.84</v>
      </c>
      <c r="D4" s="10" t="s">
        <v>122</v>
      </c>
      <c r="E4" s="5" t="s">
        <v>707</v>
      </c>
      <c r="F4" s="5" t="s">
        <v>708</v>
      </c>
      <c r="G4" s="5" t="s">
        <v>30</v>
      </c>
      <c r="H4" s="5" t="s">
        <v>709</v>
      </c>
    </row>
    <row r="5" customFormat="false" ht="18" hidden="false" customHeight="false" outlineLevel="0" collapsed="false">
      <c r="A5" s="10" t="s">
        <v>129</v>
      </c>
      <c r="B5" s="5" t="s">
        <v>710</v>
      </c>
      <c r="C5" s="33" t="n">
        <v>39</v>
      </c>
      <c r="D5" s="10" t="s">
        <v>122</v>
      </c>
      <c r="E5" s="5" t="s">
        <v>707</v>
      </c>
      <c r="F5" s="5" t="s">
        <v>708</v>
      </c>
      <c r="G5" s="5" t="s">
        <v>30</v>
      </c>
      <c r="H5" s="5" t="s">
        <v>711</v>
      </c>
    </row>
    <row r="6" customFormat="false" ht="18" hidden="false" customHeight="false" outlineLevel="0" collapsed="false">
      <c r="A6" s="10" t="s">
        <v>138</v>
      </c>
      <c r="B6" s="5" t="s">
        <v>712</v>
      </c>
      <c r="C6" s="33" t="n">
        <v>240</v>
      </c>
      <c r="D6" s="10" t="s">
        <v>122</v>
      </c>
      <c r="E6" s="5" t="s">
        <v>707</v>
      </c>
      <c r="F6" s="5" t="s">
        <v>708</v>
      </c>
      <c r="G6" s="5" t="s">
        <v>30</v>
      </c>
      <c r="H6" s="5" t="s">
        <v>713</v>
      </c>
    </row>
    <row r="7" customFormat="false" ht="18" hidden="false" customHeight="false" outlineLevel="0" collapsed="false">
      <c r="A7" s="10" t="s">
        <v>143</v>
      </c>
      <c r="B7" s="5" t="s">
        <v>714</v>
      </c>
      <c r="C7" s="33" t="n">
        <v>31685.41</v>
      </c>
      <c r="D7" s="10" t="s">
        <v>122</v>
      </c>
      <c r="E7" s="5" t="s">
        <v>707</v>
      </c>
      <c r="F7" s="5" t="s">
        <v>715</v>
      </c>
      <c r="G7" s="5" t="s">
        <v>30</v>
      </c>
      <c r="H7" s="5" t="s">
        <v>653</v>
      </c>
    </row>
    <row r="8" customFormat="false" ht="18" hidden="false" customHeight="false" outlineLevel="0" collapsed="false">
      <c r="A8" s="10" t="s">
        <v>716</v>
      </c>
      <c r="B8" s="5" t="s">
        <v>717</v>
      </c>
      <c r="C8" s="33" t="n">
        <v>1.5</v>
      </c>
      <c r="D8" s="10" t="s">
        <v>718</v>
      </c>
      <c r="E8" s="5" t="s">
        <v>707</v>
      </c>
      <c r="F8" s="5" t="s">
        <v>719</v>
      </c>
      <c r="G8" s="5" t="s">
        <v>720</v>
      </c>
      <c r="H8" s="5"/>
    </row>
    <row r="9" customFormat="false" ht="18" hidden="false" customHeight="false" outlineLevel="0" collapsed="false">
      <c r="A9" s="10" t="s">
        <v>721</v>
      </c>
      <c r="B9" s="5" t="s">
        <v>722</v>
      </c>
      <c r="C9" s="33" t="n">
        <v>32.5</v>
      </c>
      <c r="D9" s="10" t="s">
        <v>148</v>
      </c>
      <c r="E9" s="5" t="s">
        <v>707</v>
      </c>
      <c r="F9" s="5" t="s">
        <v>719</v>
      </c>
      <c r="G9" s="5" t="s">
        <v>723</v>
      </c>
      <c r="H9" s="5" t="s">
        <v>724</v>
      </c>
    </row>
    <row r="10" customFormat="false" ht="18" hidden="false" customHeight="false" outlineLevel="0" collapsed="false">
      <c r="A10" s="10" t="s">
        <v>725</v>
      </c>
      <c r="B10" s="5" t="s">
        <v>726</v>
      </c>
      <c r="C10" s="33" t="n">
        <v>1.58</v>
      </c>
      <c r="D10" s="10" t="s">
        <v>718</v>
      </c>
      <c r="E10" s="5" t="s">
        <v>707</v>
      </c>
      <c r="F10" s="5" t="s">
        <v>727</v>
      </c>
      <c r="G10" s="5" t="s">
        <v>720</v>
      </c>
      <c r="H10" s="5"/>
    </row>
    <row r="11" customFormat="false" ht="18" hidden="false" customHeight="false" outlineLevel="0" collapsed="false">
      <c r="A11" s="10" t="s">
        <v>728</v>
      </c>
      <c r="B11" s="5" t="s">
        <v>729</v>
      </c>
      <c r="C11" s="33" t="n">
        <v>1.6</v>
      </c>
      <c r="D11" s="10" t="s">
        <v>718</v>
      </c>
      <c r="E11" s="5" t="s">
        <v>707</v>
      </c>
      <c r="F11" s="5" t="s">
        <v>719</v>
      </c>
      <c r="G11" s="5" t="s">
        <v>720</v>
      </c>
      <c r="H11" s="5"/>
    </row>
    <row r="12" customFormat="false" ht="18" hidden="false" customHeight="false" outlineLevel="0" collapsed="false">
      <c r="A12" s="10" t="s">
        <v>730</v>
      </c>
      <c r="B12" s="5" t="s">
        <v>731</v>
      </c>
      <c r="C12" s="33" t="n">
        <v>189.8</v>
      </c>
      <c r="D12" s="10" t="s">
        <v>732</v>
      </c>
      <c r="E12" s="5" t="s">
        <v>707</v>
      </c>
      <c r="F12" s="5" t="s">
        <v>733</v>
      </c>
      <c r="G12" s="5" t="s">
        <v>28</v>
      </c>
      <c r="H12" s="5" t="s">
        <v>734</v>
      </c>
    </row>
    <row r="13" customFormat="false" ht="18" hidden="false" customHeight="false" outlineLevel="0" collapsed="false">
      <c r="A13" s="10" t="s">
        <v>735</v>
      </c>
      <c r="B13" s="5" t="s">
        <v>736</v>
      </c>
      <c r="C13" s="33" t="n">
        <v>1.1</v>
      </c>
      <c r="D13" s="10" t="s">
        <v>737</v>
      </c>
      <c r="E13" s="5" t="s">
        <v>707</v>
      </c>
      <c r="F13" s="5" t="s">
        <v>738</v>
      </c>
      <c r="G13" s="5" t="s">
        <v>739</v>
      </c>
      <c r="H13" s="5" t="s">
        <v>740</v>
      </c>
    </row>
    <row r="14" customFormat="false" ht="18" hidden="false" customHeight="false" outlineLevel="0" collapsed="false">
      <c r="A14" s="10" t="s">
        <v>741</v>
      </c>
      <c r="B14" s="5" t="s">
        <v>742</v>
      </c>
      <c r="C14" s="33" t="n">
        <v>281</v>
      </c>
      <c r="D14" s="10" t="s">
        <v>122</v>
      </c>
      <c r="E14" s="5" t="s">
        <v>707</v>
      </c>
      <c r="F14" s="5" t="s">
        <v>743</v>
      </c>
      <c r="G14" s="5" t="s">
        <v>744</v>
      </c>
      <c r="H14" s="5"/>
    </row>
    <row r="15" customFormat="false" ht="18" hidden="false" customHeight="false" outlineLevel="0" collapsed="false">
      <c r="A15" s="10" t="s">
        <v>745</v>
      </c>
      <c r="B15" s="5" t="s">
        <v>746</v>
      </c>
      <c r="C15" s="33" t="n">
        <v>27916.77</v>
      </c>
      <c r="D15" s="10" t="s">
        <v>122</v>
      </c>
      <c r="E15" s="5" t="s">
        <v>707</v>
      </c>
      <c r="F15" s="5" t="s">
        <v>708</v>
      </c>
      <c r="G15" s="5" t="s">
        <v>744</v>
      </c>
      <c r="H15" s="5"/>
    </row>
    <row r="16" customFormat="false" ht="18" hidden="false" customHeight="false" outlineLevel="0" collapsed="false">
      <c r="A16" s="10" t="s">
        <v>747</v>
      </c>
      <c r="B16" s="5" t="s">
        <v>748</v>
      </c>
      <c r="C16" s="33" t="n">
        <v>6.5</v>
      </c>
      <c r="D16" s="10" t="s">
        <v>122</v>
      </c>
      <c r="E16" s="5" t="s">
        <v>707</v>
      </c>
      <c r="F16" s="5" t="s">
        <v>708</v>
      </c>
      <c r="G16" s="5" t="s">
        <v>744</v>
      </c>
      <c r="H16" s="5"/>
    </row>
    <row r="17" customFormat="false" ht="18" hidden="false" customHeight="false" outlineLevel="0" collapsed="false">
      <c r="A17" s="10" t="s">
        <v>58</v>
      </c>
      <c r="B17" s="5" t="s">
        <v>749</v>
      </c>
      <c r="C17" s="33" t="n">
        <v>350</v>
      </c>
      <c r="D17" s="10" t="s">
        <v>56</v>
      </c>
      <c r="E17" s="5" t="s">
        <v>707</v>
      </c>
      <c r="F17" s="5" t="s">
        <v>708</v>
      </c>
      <c r="G17" s="5" t="s">
        <v>750</v>
      </c>
      <c r="H17" s="5" t="s">
        <v>751</v>
      </c>
    </row>
    <row r="18" customFormat="false" ht="18" hidden="false" customHeight="false" outlineLevel="0" collapsed="false">
      <c r="A18" s="10" t="s">
        <v>69</v>
      </c>
      <c r="B18" s="5" t="s">
        <v>752</v>
      </c>
      <c r="C18" s="33" t="n">
        <v>850</v>
      </c>
      <c r="D18" s="10" t="s">
        <v>56</v>
      </c>
      <c r="E18" s="5" t="s">
        <v>707</v>
      </c>
      <c r="F18" s="5" t="s">
        <v>708</v>
      </c>
      <c r="G18" s="5" t="s">
        <v>750</v>
      </c>
      <c r="H18" s="5" t="s">
        <v>67</v>
      </c>
    </row>
    <row r="19" customFormat="false" ht="18" hidden="false" customHeight="false" outlineLevel="0" collapsed="false">
      <c r="A19" s="10" t="s">
        <v>80</v>
      </c>
      <c r="B19" s="5" t="s">
        <v>753</v>
      </c>
      <c r="C19" s="33" t="n">
        <v>600</v>
      </c>
      <c r="D19" s="10" t="s">
        <v>78</v>
      </c>
      <c r="E19" s="5" t="s">
        <v>707</v>
      </c>
      <c r="F19" s="5" t="s">
        <v>708</v>
      </c>
      <c r="G19" s="5" t="s">
        <v>750</v>
      </c>
      <c r="H19" s="5" t="s">
        <v>754</v>
      </c>
    </row>
    <row r="20" customFormat="false" ht="18" hidden="false" customHeight="false" outlineLevel="0" collapsed="false">
      <c r="A20" s="10" t="s">
        <v>755</v>
      </c>
      <c r="B20" s="5" t="s">
        <v>756</v>
      </c>
      <c r="C20" s="33" t="n">
        <v>420</v>
      </c>
      <c r="D20" s="10" t="s">
        <v>56</v>
      </c>
      <c r="E20" s="5" t="s">
        <v>707</v>
      </c>
      <c r="F20" s="5" t="s">
        <v>627</v>
      </c>
      <c r="G20" s="5" t="s">
        <v>757</v>
      </c>
      <c r="H20" s="5" t="s">
        <v>758</v>
      </c>
    </row>
    <row r="21" customFormat="false" ht="18" hidden="false" customHeight="false" outlineLevel="0" collapsed="false">
      <c r="A21" s="10" t="s">
        <v>759</v>
      </c>
      <c r="B21" s="5" t="s">
        <v>760</v>
      </c>
      <c r="C21" s="33" t="n">
        <v>9</v>
      </c>
      <c r="D21" s="10" t="s">
        <v>56</v>
      </c>
      <c r="E21" s="5" t="s">
        <v>707</v>
      </c>
      <c r="F21" s="5" t="s">
        <v>627</v>
      </c>
      <c r="G21" s="5" t="s">
        <v>757</v>
      </c>
      <c r="H21" s="5" t="s">
        <v>761</v>
      </c>
    </row>
    <row r="22" customFormat="false" ht="18" hidden="false" customHeight="false" outlineLevel="0" collapsed="false">
      <c r="A22" s="10" t="s">
        <v>117</v>
      </c>
      <c r="B22" s="5" t="s">
        <v>762</v>
      </c>
      <c r="C22" s="33" t="n">
        <v>24</v>
      </c>
      <c r="D22" s="10" t="s">
        <v>115</v>
      </c>
      <c r="E22" s="5" t="s">
        <v>707</v>
      </c>
      <c r="F22" s="5" t="s">
        <v>627</v>
      </c>
      <c r="G22" s="5" t="s">
        <v>763</v>
      </c>
      <c r="H22" s="5" t="s">
        <v>764</v>
      </c>
    </row>
    <row r="23" customFormat="false" ht="18" hidden="false" customHeight="false" outlineLevel="0" collapsed="false">
      <c r="A23" s="10" t="s">
        <v>765</v>
      </c>
      <c r="B23" s="5" t="s">
        <v>766</v>
      </c>
      <c r="C23" s="33" t="n">
        <v>12</v>
      </c>
      <c r="D23" s="10" t="s">
        <v>56</v>
      </c>
      <c r="E23" s="5" t="s">
        <v>707</v>
      </c>
      <c r="F23" s="5" t="s">
        <v>627</v>
      </c>
      <c r="G23" s="5" t="s">
        <v>763</v>
      </c>
      <c r="H23" s="5"/>
    </row>
    <row r="24" customFormat="false" ht="18" hidden="false" customHeight="false" outlineLevel="0" collapsed="false">
      <c r="A24" s="10" t="s">
        <v>85</v>
      </c>
      <c r="B24" s="5" t="s">
        <v>767</v>
      </c>
      <c r="C24" s="33" t="n">
        <v>420</v>
      </c>
      <c r="D24" s="10" t="s">
        <v>56</v>
      </c>
      <c r="E24" s="5" t="s">
        <v>707</v>
      </c>
      <c r="F24" s="5" t="s">
        <v>627</v>
      </c>
      <c r="G24" s="5" t="s">
        <v>750</v>
      </c>
      <c r="H24" s="5"/>
    </row>
    <row r="25" customFormat="false" ht="18" hidden="false" customHeight="false" outlineLevel="0" collapsed="false">
      <c r="A25" s="10" t="s">
        <v>90</v>
      </c>
      <c r="B25" s="5" t="s">
        <v>768</v>
      </c>
      <c r="C25" s="33" t="n">
        <v>3000</v>
      </c>
      <c r="D25" s="10" t="s">
        <v>78</v>
      </c>
      <c r="E25" s="5" t="s">
        <v>707</v>
      </c>
      <c r="F25" s="5" t="s">
        <v>627</v>
      </c>
      <c r="G25" s="5" t="s">
        <v>750</v>
      </c>
      <c r="H25" s="5"/>
    </row>
    <row r="26" customFormat="false" ht="18" hidden="false" customHeight="false" outlineLevel="0" collapsed="false">
      <c r="A26" s="10" t="s">
        <v>95</v>
      </c>
      <c r="B26" s="5" t="s">
        <v>769</v>
      </c>
      <c r="C26" s="33" t="n">
        <v>200</v>
      </c>
      <c r="D26" s="10" t="s">
        <v>78</v>
      </c>
      <c r="E26" s="5" t="s">
        <v>707</v>
      </c>
      <c r="F26" s="5" t="s">
        <v>627</v>
      </c>
      <c r="G26" s="5" t="s">
        <v>750</v>
      </c>
      <c r="H26" s="5" t="s">
        <v>770</v>
      </c>
    </row>
    <row r="27" customFormat="false" ht="18" hidden="false" customHeight="false" outlineLevel="0" collapsed="false">
      <c r="A27" s="10" t="s">
        <v>100</v>
      </c>
      <c r="B27" s="5" t="s">
        <v>771</v>
      </c>
      <c r="C27" s="33" t="n">
        <v>200</v>
      </c>
      <c r="D27" s="10" t="s">
        <v>78</v>
      </c>
      <c r="E27" s="5" t="s">
        <v>707</v>
      </c>
      <c r="F27" s="5" t="s">
        <v>627</v>
      </c>
      <c r="G27" s="5" t="s">
        <v>750</v>
      </c>
      <c r="H27" s="5" t="s">
        <v>772</v>
      </c>
    </row>
    <row r="28" customFormat="false" ht="18" hidden="false" customHeight="false" outlineLevel="0" collapsed="false">
      <c r="A28" s="10" t="s">
        <v>773</v>
      </c>
      <c r="B28" s="5" t="s">
        <v>12</v>
      </c>
      <c r="C28" s="33" t="n">
        <v>5798</v>
      </c>
      <c r="D28" s="10" t="s">
        <v>774</v>
      </c>
      <c r="E28" s="5" t="s">
        <v>707</v>
      </c>
      <c r="F28" s="5" t="s">
        <v>708</v>
      </c>
      <c r="G28" s="5" t="s">
        <v>775</v>
      </c>
      <c r="H28" s="5" t="s">
        <v>776</v>
      </c>
    </row>
    <row r="30" customFormat="false" ht="15" hidden="false" customHeight="true" outlineLevel="0" collapsed="false">
      <c r="A30" s="3" t="s">
        <v>777</v>
      </c>
      <c r="B30" s="3"/>
      <c r="C30" s="3"/>
      <c r="D30" s="3"/>
      <c r="E30" s="3"/>
      <c r="F30" s="3"/>
      <c r="G30" s="3"/>
      <c r="H30" s="3"/>
    </row>
    <row r="31" customFormat="false" ht="15" hidden="false" customHeight="true" outlineLevel="0" collapsed="false">
      <c r="A31" s="16" t="s">
        <v>36</v>
      </c>
      <c r="B31" s="16" t="s">
        <v>584</v>
      </c>
      <c r="C31" s="16" t="s">
        <v>703</v>
      </c>
      <c r="D31" s="16" t="s">
        <v>39</v>
      </c>
      <c r="E31" s="16" t="s">
        <v>704</v>
      </c>
      <c r="F31" s="16" t="s">
        <v>587</v>
      </c>
      <c r="G31" s="16" t="s">
        <v>705</v>
      </c>
      <c r="H31" s="16" t="s">
        <v>221</v>
      </c>
    </row>
    <row r="32" customFormat="false" ht="18" hidden="false" customHeight="false" outlineLevel="0" collapsed="false">
      <c r="A32" s="37" t="s">
        <v>778</v>
      </c>
      <c r="B32" s="38" t="s">
        <v>779</v>
      </c>
      <c r="C32" s="34" t="n">
        <f aca="false">C4*C8</f>
        <v>64844.76</v>
      </c>
      <c r="D32" s="37" t="s">
        <v>148</v>
      </c>
      <c r="E32" s="38" t="s">
        <v>780</v>
      </c>
      <c r="F32" s="38" t="s">
        <v>781</v>
      </c>
      <c r="G32" s="38" t="s">
        <v>723</v>
      </c>
      <c r="H32" s="38"/>
    </row>
    <row r="33" customFormat="false" ht="18" hidden="false" customHeight="false" outlineLevel="0" collapsed="false">
      <c r="A33" s="37" t="s">
        <v>782</v>
      </c>
      <c r="B33" s="38" t="s">
        <v>783</v>
      </c>
      <c r="C33" s="34" t="n">
        <f aca="false">C6*C10</f>
        <v>379.2</v>
      </c>
      <c r="D33" s="37" t="s">
        <v>148</v>
      </c>
      <c r="E33" s="38" t="s">
        <v>784</v>
      </c>
      <c r="F33" s="38" t="s">
        <v>785</v>
      </c>
      <c r="G33" s="38" t="s">
        <v>723</v>
      </c>
      <c r="H33" s="38"/>
    </row>
    <row r="34" customFormat="false" ht="18" hidden="false" customHeight="false" outlineLevel="0" collapsed="false">
      <c r="A34" s="37" t="s">
        <v>786</v>
      </c>
      <c r="B34" s="38" t="s">
        <v>787</v>
      </c>
      <c r="C34" s="34" t="n">
        <f aca="false">C7*C11</f>
        <v>50696.656</v>
      </c>
      <c r="D34" s="37" t="s">
        <v>148</v>
      </c>
      <c r="E34" s="38" t="s">
        <v>788</v>
      </c>
      <c r="F34" s="38" t="s">
        <v>789</v>
      </c>
      <c r="G34" s="38" t="s">
        <v>723</v>
      </c>
      <c r="H34" s="38"/>
    </row>
    <row r="35" customFormat="false" ht="18" hidden="false" customHeight="false" outlineLevel="0" collapsed="false">
      <c r="A35" s="37" t="s">
        <v>150</v>
      </c>
      <c r="B35" s="38" t="s">
        <v>790</v>
      </c>
      <c r="C35" s="34" t="n">
        <f aca="false">C32+C9+C33+C34</f>
        <v>115953.116</v>
      </c>
      <c r="D35" s="37" t="s">
        <v>148</v>
      </c>
      <c r="E35" s="38" t="s">
        <v>791</v>
      </c>
      <c r="F35" s="38" t="s">
        <v>792</v>
      </c>
      <c r="G35" s="38" t="s">
        <v>793</v>
      </c>
      <c r="H35" s="38"/>
    </row>
    <row r="36" customFormat="false" ht="18" hidden="false" customHeight="false" outlineLevel="0" collapsed="false">
      <c r="A36" s="37" t="s">
        <v>170</v>
      </c>
      <c r="B36" s="38" t="s">
        <v>794</v>
      </c>
      <c r="C36" s="34" t="n">
        <f aca="false">C14+C15+C16</f>
        <v>28204.27</v>
      </c>
      <c r="D36" s="37" t="s">
        <v>122</v>
      </c>
      <c r="E36" s="38" t="s">
        <v>795</v>
      </c>
      <c r="F36" s="38" t="s">
        <v>796</v>
      </c>
      <c r="G36" s="38" t="s">
        <v>797</v>
      </c>
      <c r="H36" s="38"/>
    </row>
    <row r="37" customFormat="false" ht="18" hidden="false" customHeight="false" outlineLevel="0" collapsed="false">
      <c r="A37" s="37" t="s">
        <v>160</v>
      </c>
      <c r="B37" s="38" t="s">
        <v>157</v>
      </c>
      <c r="C37" s="34" t="n">
        <f aca="false">C7*C13</f>
        <v>34853.951</v>
      </c>
      <c r="D37" s="37" t="s">
        <v>122</v>
      </c>
      <c r="E37" s="38" t="s">
        <v>798</v>
      </c>
      <c r="F37" s="38" t="s">
        <v>799</v>
      </c>
      <c r="G37" s="38" t="s">
        <v>739</v>
      </c>
      <c r="H37" s="38"/>
    </row>
    <row r="38" customFormat="false" ht="18" hidden="false" customHeight="false" outlineLevel="0" collapsed="false">
      <c r="A38" s="37" t="s">
        <v>800</v>
      </c>
      <c r="B38" s="38" t="s">
        <v>801</v>
      </c>
      <c r="C38" s="34" t="n">
        <f aca="false">C4+C5+C6+C7</f>
        <v>75194.25</v>
      </c>
      <c r="D38" s="37" t="s">
        <v>122</v>
      </c>
      <c r="E38" s="38" t="s">
        <v>802</v>
      </c>
      <c r="F38" s="38"/>
      <c r="G38" s="38" t="s">
        <v>803</v>
      </c>
      <c r="H38" s="38"/>
    </row>
    <row r="39" customFormat="false" ht="18" hidden="false" customHeight="false" outlineLevel="0" collapsed="false">
      <c r="A39" s="37" t="s">
        <v>804</v>
      </c>
      <c r="B39" s="38" t="s">
        <v>805</v>
      </c>
      <c r="C39" s="34" t="n">
        <f aca="false">C17*3</f>
        <v>1050</v>
      </c>
      <c r="D39" s="37" t="s">
        <v>78</v>
      </c>
      <c r="E39" s="38" t="s">
        <v>806</v>
      </c>
      <c r="F39" s="38"/>
      <c r="G39" s="38" t="s">
        <v>53</v>
      </c>
      <c r="H39" s="38"/>
    </row>
    <row r="40" customFormat="false" ht="18" hidden="false" customHeight="false" outlineLevel="0" collapsed="false">
      <c r="A40" s="37" t="s">
        <v>111</v>
      </c>
      <c r="B40" s="38" t="s">
        <v>807</v>
      </c>
      <c r="C40" s="34" t="n">
        <f aca="false">C20*C21</f>
        <v>3780</v>
      </c>
      <c r="D40" s="37" t="s">
        <v>78</v>
      </c>
      <c r="E40" s="38" t="s">
        <v>808</v>
      </c>
      <c r="F40" s="38"/>
      <c r="G40" s="38" t="s">
        <v>107</v>
      </c>
      <c r="H40" s="38"/>
    </row>
    <row r="41" customFormat="false" ht="18" hidden="false" customHeight="false" outlineLevel="0" collapsed="false">
      <c r="A41" s="37" t="s">
        <v>809</v>
      </c>
      <c r="B41" s="38" t="s">
        <v>810</v>
      </c>
      <c r="C41" s="34" t="n">
        <f aca="false">C40*0.075</f>
        <v>283.5</v>
      </c>
      <c r="D41" s="37" t="s">
        <v>148</v>
      </c>
      <c r="E41" s="38" t="s">
        <v>811</v>
      </c>
      <c r="F41" s="38" t="s">
        <v>812</v>
      </c>
      <c r="G41" s="38" t="s">
        <v>813</v>
      </c>
      <c r="H41" s="38"/>
    </row>
    <row r="42" customFormat="false" ht="18" hidden="false" customHeight="false" outlineLevel="0" collapsed="false">
      <c r="A42" s="37" t="s">
        <v>814</v>
      </c>
      <c r="B42" s="38" t="s">
        <v>815</v>
      </c>
      <c r="C42" s="34" t="n">
        <f aca="false">C22*C23</f>
        <v>288</v>
      </c>
      <c r="D42" s="37" t="s">
        <v>56</v>
      </c>
      <c r="E42" s="38" t="s">
        <v>816</v>
      </c>
      <c r="F42" s="38"/>
      <c r="G42" s="38" t="s">
        <v>112</v>
      </c>
      <c r="H42" s="38"/>
    </row>
    <row r="44" customFormat="false" ht="16.5" hidden="false" customHeight="true" outlineLevel="0" collapsed="false">
      <c r="A44" s="7" t="s">
        <v>817</v>
      </c>
      <c r="B44" s="7"/>
      <c r="C44" s="7"/>
      <c r="D44" s="7"/>
      <c r="E44" s="7"/>
      <c r="F44" s="7"/>
      <c r="G44" s="7"/>
      <c r="H44" s="7"/>
    </row>
    <row r="45" customFormat="false" ht="15" hidden="false" customHeight="true" outlineLevel="0" collapsed="false">
      <c r="A45" s="4" t="s">
        <v>34</v>
      </c>
      <c r="B45" s="4" t="s">
        <v>818</v>
      </c>
      <c r="C45" s="4" t="s">
        <v>819</v>
      </c>
      <c r="D45" s="4" t="s">
        <v>22</v>
      </c>
      <c r="E45" s="4" t="s">
        <v>820</v>
      </c>
      <c r="F45" s="4" t="s">
        <v>821</v>
      </c>
      <c r="G45" s="4" t="s">
        <v>822</v>
      </c>
      <c r="H45" s="4" t="s">
        <v>823</v>
      </c>
    </row>
    <row r="46" customFormat="false" ht="15" hidden="false" customHeight="true" outlineLevel="0" collapsed="false">
      <c r="A46" s="10" t="n">
        <v>1</v>
      </c>
      <c r="B46" s="10" t="s">
        <v>824</v>
      </c>
      <c r="C46" s="33" t="n">
        <v>0.5</v>
      </c>
      <c r="D46" s="10" t="s">
        <v>653</v>
      </c>
      <c r="E46" s="33" t="n">
        <v>6844.37</v>
      </c>
      <c r="F46" s="33" t="n">
        <v>3422.19</v>
      </c>
      <c r="G46" s="36" t="n">
        <f aca="false">E46*C46</f>
        <v>3422.185</v>
      </c>
      <c r="H46" s="36" t="n">
        <f aca="false">F46-G46</f>
        <v>0.00500000000010914</v>
      </c>
    </row>
    <row r="47" customFormat="false" ht="15" hidden="false" customHeight="true" outlineLevel="0" collapsed="false">
      <c r="A47" s="10" t="n">
        <v>2</v>
      </c>
      <c r="B47" s="10" t="s">
        <v>825</v>
      </c>
      <c r="C47" s="33" t="n">
        <v>1</v>
      </c>
      <c r="D47" s="10" t="s">
        <v>653</v>
      </c>
      <c r="E47" s="33" t="n">
        <v>6817.25</v>
      </c>
      <c r="F47" s="33" t="n">
        <v>6817.25</v>
      </c>
      <c r="G47" s="36" t="n">
        <f aca="false">E47*C47</f>
        <v>6817.25</v>
      </c>
      <c r="H47" s="36" t="n">
        <f aca="false">F47-G47</f>
        <v>0</v>
      </c>
    </row>
    <row r="48" customFormat="false" ht="15" hidden="false" customHeight="true" outlineLevel="0" collapsed="false">
      <c r="A48" s="10" t="n">
        <v>3</v>
      </c>
      <c r="B48" s="10" t="s">
        <v>826</v>
      </c>
      <c r="C48" s="33" t="n">
        <v>1</v>
      </c>
      <c r="D48" s="10" t="s">
        <v>827</v>
      </c>
      <c r="E48" s="33" t="n">
        <v>5867.2</v>
      </c>
      <c r="F48" s="33" t="n">
        <v>5867.2</v>
      </c>
      <c r="G48" s="36" t="n">
        <f aca="false">E48*C48</f>
        <v>5867.2</v>
      </c>
      <c r="H48" s="36" t="n">
        <f aca="false">F48-G48</f>
        <v>0</v>
      </c>
    </row>
    <row r="49" customFormat="false" ht="15" hidden="false" customHeight="true" outlineLevel="0" collapsed="false">
      <c r="A49" s="10" t="n">
        <v>4</v>
      </c>
      <c r="B49" s="10" t="s">
        <v>828</v>
      </c>
      <c r="C49" s="33" t="n">
        <v>1</v>
      </c>
      <c r="D49" s="10" t="s">
        <v>827</v>
      </c>
      <c r="E49" s="33" t="n">
        <v>5988.01</v>
      </c>
      <c r="F49" s="33" t="n">
        <v>5988.01</v>
      </c>
      <c r="G49" s="36" t="n">
        <f aca="false">E49*C49</f>
        <v>5988.01</v>
      </c>
      <c r="H49" s="36" t="n">
        <f aca="false">F49-G49</f>
        <v>0</v>
      </c>
    </row>
    <row r="50" customFormat="false" ht="15" hidden="false" customHeight="true" outlineLevel="0" collapsed="false">
      <c r="A50" s="10" t="n">
        <v>5</v>
      </c>
      <c r="B50" s="10" t="s">
        <v>829</v>
      </c>
      <c r="C50" s="33" t="n">
        <v>1</v>
      </c>
      <c r="D50" s="10" t="s">
        <v>827</v>
      </c>
      <c r="E50" s="33" t="n">
        <v>4582.73</v>
      </c>
      <c r="F50" s="33" t="n">
        <v>4582.73</v>
      </c>
      <c r="G50" s="36" t="n">
        <f aca="false">E50*C50</f>
        <v>4582.73</v>
      </c>
      <c r="H50" s="36" t="n">
        <f aca="false">F50-G50</f>
        <v>0</v>
      </c>
    </row>
    <row r="51" customFormat="false" ht="15" hidden="false" customHeight="true" outlineLevel="0" collapsed="false">
      <c r="A51" s="10" t="n">
        <v>6</v>
      </c>
      <c r="B51" s="10" t="s">
        <v>830</v>
      </c>
      <c r="C51" s="33" t="n">
        <v>1</v>
      </c>
      <c r="D51" s="10" t="s">
        <v>827</v>
      </c>
      <c r="E51" s="33" t="n">
        <v>3119.26</v>
      </c>
      <c r="F51" s="33" t="n">
        <v>3119.26</v>
      </c>
      <c r="G51" s="36" t="n">
        <f aca="false">E51*C51</f>
        <v>3119.26</v>
      </c>
      <c r="H51" s="36" t="n">
        <f aca="false">F51-G51</f>
        <v>0</v>
      </c>
    </row>
    <row r="52" customFormat="false" ht="15" hidden="false" customHeight="true" outlineLevel="0" collapsed="false">
      <c r="A52" s="10" t="n">
        <v>7</v>
      </c>
      <c r="B52" s="10" t="s">
        <v>831</v>
      </c>
      <c r="C52" s="33" t="n">
        <v>1</v>
      </c>
      <c r="D52" s="10" t="s">
        <v>827</v>
      </c>
      <c r="E52" s="33" t="n">
        <v>1753.18</v>
      </c>
      <c r="F52" s="33" t="n">
        <v>1753.18</v>
      </c>
      <c r="G52" s="36" t="n">
        <f aca="false">E52*C52</f>
        <v>1753.18</v>
      </c>
      <c r="H52" s="36" t="n">
        <f aca="false">F52-G52</f>
        <v>0</v>
      </c>
    </row>
    <row r="53" customFormat="false" ht="15" hidden="false" customHeight="true" outlineLevel="0" collapsed="false">
      <c r="A53" s="10" t="n">
        <v>8</v>
      </c>
      <c r="B53" s="10" t="s">
        <v>832</v>
      </c>
      <c r="C53" s="33" t="n">
        <v>1</v>
      </c>
      <c r="D53" s="10" t="s">
        <v>827</v>
      </c>
      <c r="E53" s="33" t="n">
        <v>135.59</v>
      </c>
      <c r="F53" s="33" t="n">
        <v>135.59</v>
      </c>
      <c r="G53" s="36" t="n">
        <f aca="false">E53*C53</f>
        <v>135.59</v>
      </c>
      <c r="H53" s="36" t="n">
        <f aca="false">F53-G53</f>
        <v>0</v>
      </c>
    </row>
    <row r="54" customFormat="false" ht="15" hidden="false" customHeight="true" outlineLevel="0" collapsed="false">
      <c r="A54" s="20" t="s">
        <v>833</v>
      </c>
      <c r="B54" s="20"/>
      <c r="C54" s="20"/>
      <c r="D54" s="20"/>
      <c r="E54" s="20"/>
      <c r="F54" s="21" t="n">
        <f aca="false">SUM(F46:F53)</f>
        <v>31685.41</v>
      </c>
      <c r="G54" s="21" t="n">
        <f aca="false">SUM(G46:G53)</f>
        <v>31685.405</v>
      </c>
      <c r="H54" s="21" t="n">
        <f aca="false">F54-G54</f>
        <v>0.00500000000101863</v>
      </c>
    </row>
    <row r="55" customFormat="false" ht="15" hidden="false" customHeight="true" outlineLevel="0" collapsed="false">
      <c r="A55" s="7" t="s">
        <v>834</v>
      </c>
      <c r="B55" s="7"/>
      <c r="C55" s="7"/>
      <c r="D55" s="7"/>
      <c r="E55" s="7"/>
      <c r="F55" s="7"/>
      <c r="G55" s="7"/>
      <c r="H55" s="7"/>
    </row>
    <row r="56" customFormat="false" ht="15" hidden="false" customHeight="true" outlineLevel="0" collapsed="false">
      <c r="A56" s="10" t="s">
        <v>190</v>
      </c>
      <c r="B56" s="5" t="s">
        <v>835</v>
      </c>
      <c r="C56" s="33" t="n">
        <v>48</v>
      </c>
      <c r="D56" s="10" t="s">
        <v>188</v>
      </c>
      <c r="E56" s="10"/>
      <c r="F56" s="10"/>
      <c r="G56" s="10"/>
      <c r="H56" s="5" t="s">
        <v>836</v>
      </c>
    </row>
    <row r="57" customFormat="false" ht="15" hidden="false" customHeight="true" outlineLevel="0" collapsed="false">
      <c r="A57" s="10" t="s">
        <v>194</v>
      </c>
      <c r="B57" s="5" t="s">
        <v>837</v>
      </c>
      <c r="C57" s="33" t="n">
        <v>24</v>
      </c>
      <c r="D57" s="10" t="s">
        <v>188</v>
      </c>
      <c r="E57" s="10"/>
      <c r="F57" s="10"/>
      <c r="G57" s="10"/>
      <c r="H57" s="5" t="s">
        <v>838</v>
      </c>
    </row>
    <row r="58" customFormat="false" ht="15" hidden="false" customHeight="true" outlineLevel="0" collapsed="false">
      <c r="A58" s="10" t="s">
        <v>199</v>
      </c>
      <c r="B58" s="5" t="s">
        <v>839</v>
      </c>
      <c r="C58" s="33" t="n">
        <v>24</v>
      </c>
      <c r="D58" s="10" t="s">
        <v>197</v>
      </c>
      <c r="E58" s="10"/>
      <c r="F58" s="10"/>
      <c r="G58" s="10"/>
      <c r="H58" s="5" t="s">
        <v>840</v>
      </c>
    </row>
    <row r="59" customFormat="false" ht="15" hidden="false" customHeight="true" outlineLevel="0" collapsed="false">
      <c r="A59" s="10" t="s">
        <v>203</v>
      </c>
      <c r="B59" s="5" t="s">
        <v>841</v>
      </c>
      <c r="C59" s="33" t="n">
        <v>36</v>
      </c>
      <c r="D59" s="10" t="s">
        <v>197</v>
      </c>
      <c r="E59" s="10"/>
      <c r="F59" s="10"/>
      <c r="G59" s="10"/>
      <c r="H59" s="5" t="s">
        <v>842</v>
      </c>
    </row>
    <row r="60" customFormat="false" ht="15" hidden="false" customHeight="true" outlineLevel="0" collapsed="false">
      <c r="A60" s="10" t="s">
        <v>207</v>
      </c>
      <c r="B60" s="5" t="s">
        <v>843</v>
      </c>
      <c r="C60" s="33" t="n">
        <v>80</v>
      </c>
      <c r="D60" s="10" t="s">
        <v>197</v>
      </c>
      <c r="E60" s="10"/>
      <c r="F60" s="10"/>
      <c r="G60" s="10"/>
      <c r="H60" s="5" t="s">
        <v>844</v>
      </c>
    </row>
    <row r="61" customFormat="false" ht="15" hidden="false" customHeight="true" outlineLevel="0" collapsed="false">
      <c r="A61" s="10" t="s">
        <v>211</v>
      </c>
      <c r="B61" s="5" t="s">
        <v>845</v>
      </c>
      <c r="C61" s="33" t="n">
        <v>8</v>
      </c>
      <c r="D61" s="10" t="s">
        <v>197</v>
      </c>
      <c r="E61" s="10"/>
      <c r="F61" s="10"/>
      <c r="G61" s="10"/>
      <c r="H61" s="5" t="s">
        <v>846</v>
      </c>
    </row>
  </sheetData>
  <autoFilter ref="A3:H28"/>
  <mergeCells count="5">
    <mergeCell ref="A1:H1"/>
    <mergeCell ref="A2:H2"/>
    <mergeCell ref="A30:H30"/>
    <mergeCell ref="A44:H44"/>
    <mergeCell ref="A55:H55"/>
  </mergeCells>
  <printOptions headings="false" gridLines="false" gridLinesSet="true" horizontalCentered="false" verticalCentered="false"/>
  <pageMargins left="0.4" right="0.4" top="0.7" bottom="0.5" header="0.5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&amp;L&amp;"Calibri,标准"旺平矿业  工程量计算</oddHeader>
    <oddFooter>&amp;R&amp;"Calibri,标准"第 &amp;P 页 / 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2026-10-06T11:51:00Z</dcterms:created>
  <dc:creator>openpyxl</dc:creator>
  <dc:description/>
  <dc:language>zh-CN</dc:language>
  <cp:lastModifiedBy/>
  <dcterms:modified xsi:type="dcterms:W3CDTF">2026-10-07T08:01:23Z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806EB12625A64A3EBDD56FB9BD75E050_12</vt:lpwstr>
  </property>
  <property fmtid="{D5CDD505-2E9C-101B-9397-08002B2CF9AE}" pid="4" name="KSOProductBuildVer">
    <vt:lpwstr>2052-12.1.0.28802</vt:lpwstr>
  </property>
</Properties>
</file>