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3"/>
    <sheet name="费用汇总" sheetId="2" state="visible" r:id="rId4"/>
    <sheet name="综合单价" sheetId="3" state="visible" r:id="rId5"/>
    <sheet name="工料机价格" sheetId="4" state="visible" r:id="rId6"/>
    <sheet name="工程量计算" sheetId="5" state="visible" r:id="rId7"/>
  </sheets>
  <definedNames>
    <definedName function="false" hidden="false" localSheetId="1" name="_xlnm.Print_Area" vbProcedure="false">费用汇总!$A$1:$K$79</definedName>
    <definedName function="false" hidden="false" localSheetId="1" name="_xlnm.Print_Titles" vbProcedure="false">费用汇总!$1:$3</definedName>
    <definedName function="false" hidden="true" localSheetId="1" name="_xlnm._FilterDatabase" vbProcedure="false">费用汇总!$A$3:$K$37</definedName>
    <definedName function="false" hidden="false" localSheetId="0" name="_xlnm.Print_Area" vbProcedure="false">封面!$A$1:$F$29</definedName>
    <definedName function="false" hidden="false" localSheetId="0" name="_xlnm.Print_Titles" vbProcedure="false">封面!$1:$3</definedName>
    <definedName function="false" hidden="false" localSheetId="4" name="_xlnm.Print_Titles" vbProcedure="false">工程量计算!$1:$3</definedName>
    <definedName function="false" hidden="true" localSheetId="4" name="_xlnm._FilterDatabase" vbProcedure="false">工程量计算!$A$3:$H$35</definedName>
    <definedName function="false" hidden="false" localSheetId="3" name="_xlnm.Print_Titles" vbProcedure="false">工料机价格!$1:$3</definedName>
    <definedName function="false" hidden="true" localSheetId="3" name="_xlnm._FilterDatabase" vbProcedure="false">工料机价格!$A$3:$H$45</definedName>
    <definedName function="false" hidden="false" localSheetId="2" name="_xlnm.Print_Titles" vbProcedure="false">综合单价!$1:$3</definedName>
    <definedName function="false" hidden="true" localSheetId="2" name="_xlnm._FilterDatabase" vbProcedure="false">综合单价!$A$3:$P$137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<sst xmlns="http://schemas.openxmlformats.org/spreadsheetml/2006/main" count="2047" uniqueCount="846">
  <si>
    <t xml:space="preserve">德阳市什邡市2个污染地块
土壤污染综合治理项目施工成本测算</t>
  </si>
  <si>
    <t xml:space="preserve">地块：金宏化工、东升实业　·　地点：德阳市什邡市马祖镇　·　规划：公园绿地（非经营性）　·　工期12个月</t>
  </si>
  <si>
    <t xml:space="preserve">五表模版：封面 → 费用汇总（工程量×综合单价）→ 综合单价（只含人材机）→ 工料机价格 → 工程量计算。综合单价不含管理费、利润、税金。不引用投资估算单价。</t>
  </si>
  <si>
    <t xml:space="preserve">测算成果</t>
  </si>
  <si>
    <t xml:space="preserve">指标</t>
  </si>
  <si>
    <t xml:space="preserve">金额 / 指标</t>
  </si>
  <si>
    <t xml:space="preserve">口径</t>
  </si>
  <si>
    <t xml:space="preserve">含税工程造价（元）</t>
  </si>
  <si>
    <t xml:space="preserve">直接费+管理费+利润+增值税</t>
  </si>
  <si>
    <t xml:space="preserve">含税工程造价（万元）</t>
  </si>
  <si>
    <t xml:space="preserve">同上，万元</t>
  </si>
  <si>
    <t xml:space="preserve">人材机直接费（元）</t>
  </si>
  <si>
    <t xml:space="preserve">不含管利税</t>
  </si>
  <si>
    <t xml:space="preserve">企业管理费（元）</t>
  </si>
  <si>
    <t xml:space="preserve">直接费×5%，不进综合单价</t>
  </si>
  <si>
    <t xml:space="preserve">利润（元）</t>
  </si>
  <si>
    <t xml:space="preserve">直接费×4%，不进综合单价</t>
  </si>
  <si>
    <t xml:space="preserve">增值税（元）</t>
  </si>
  <si>
    <t xml:space="preserve">税前×9%</t>
  </si>
  <si>
    <t xml:space="preserve">清挖方量（m³）</t>
  </si>
  <si>
    <t xml:space="preserve">可研1.1.3</t>
  </si>
  <si>
    <t xml:space="preserve">水泥窑吨位（t）</t>
  </si>
  <si>
    <t xml:space="preserve">方量×容重1.6</t>
  </si>
  <si>
    <t xml:space="preserve">含汞方量（m³）</t>
  </si>
  <si>
    <t xml:space="preserve">安全处置</t>
  </si>
  <si>
    <t xml:space="preserve">勾稽差（m³）</t>
  </si>
  <si>
    <t xml:space="preserve">两项均应为0</t>
  </si>
  <si>
    <t xml:space="preserve">1. 范围：施工成本。不含前期咨询、勘察、初步设计、施工图预算、环境监理、效果评估、招标代理、预备费、建设单位管理费。</t>
  </si>
  <si>
    <t xml:space="preserve">2. 工程量取自可研1.1.3、表4.3-1和表13.1-1的数量列。投资估算中的单价、费用构成、取费基数一律不引用、不对标、不反推。</t>
  </si>
  <si>
    <t xml:space="preserve">3. 技术路线（可研第6章）：清挖筛分，卵石冲洗后回填，含汞土壤安全处置，其余污染土壤水泥窑协同处置，外购清洁土回填。基坑支护和降水可研明确未设计，本表不含。</t>
  </si>
  <si>
    <t xml:space="preserve">4. 水泥窑190元/t不含运，来自成本库「旺平-水泥窑协同处置-不含运-元-t」，用户已确认。运费按0.80元/t·km×运距单列。运距40 km为假设。</t>
  </si>
  <si>
    <t xml:space="preserve">5. 含汞处置2800元/m³，来自成本库「含汞污染土壤安全处置-元-m3」（川发改价格〔2011〕1776号口径）。接收单位未定。</t>
  </si>
  <si>
    <t xml:space="preserve">6. 外购清洁土80元/m³为什邡周边到场估价，不套用雅安45元/m³。废水系数0.15、容重1.6为假设，黄色可改。</t>
  </si>
  <si>
    <t xml:space="preserve">7. 污染物：砷(As)、汞(Hg)、铅(Pb)、镉(Cd)、铜(Cu)、铬（六价）(Cr(VI))。修复目标值见可研表4.2-1，与GB 36600-2018第一类用地筛选值不是同一套数。</t>
  </si>
  <si>
    <t xml:space="preserve">8. 金额单位元，不含税单价。蓝色黄底为输入，绿色为跨表引用，黑色为公式。</t>
  </si>
  <si>
    <t xml:space="preserve">9. 已补回填土壤监测40个、二次污染区域20个。全项检测库内无独立价，暂用150元/样，不采用可研2800元/个。场内地磅2台（两地块各1台，100 t），设备摊销28000元/台为估价，另加混凝土基础。不是地泵，也不与进厂过磅12元/t重复。</t>
  </si>
  <si>
    <t xml:space="preserve">费用汇总。上半是工程量×工序综合单价。下半管理费、利润、税金不进综合单价。不含可研其他费和预备费。不引用投资估算单价。</t>
  </si>
  <si>
    <t xml:space="preserve">工程量G列引用工程量计算；综合单价H列引用综合单价P列。改黄色消耗量、资源单价或本表费率后，合价和图表一起变。</t>
  </si>
  <si>
    <t xml:space="preserve">序号</t>
  </si>
  <si>
    <t xml:space="preserve">分部</t>
  </si>
  <si>
    <t xml:space="preserve">编码</t>
  </si>
  <si>
    <t xml:space="preserve">项目名称</t>
  </si>
  <si>
    <t xml:space="preserve">工序特征</t>
  </si>
  <si>
    <t xml:space="preserve">单位</t>
  </si>
  <si>
    <t xml:space="preserve">工程量</t>
  </si>
  <si>
    <t xml:space="preserve">综合单价</t>
  </si>
  <si>
    <t xml:space="preserve">合价（元）</t>
  </si>
  <si>
    <t xml:space="preserve">单价位置</t>
  </si>
  <si>
    <t xml:space="preserve">依据</t>
  </si>
  <si>
    <t xml:space="preserve">A临建</t>
  </si>
  <si>
    <t xml:space="preserve">SF01</t>
  </si>
  <si>
    <t xml:space="preserve">测量放线</t>
  </si>
  <si>
    <t xml:space="preserve">拐点、分层标高</t>
  </si>
  <si>
    <t xml:space="preserve">项</t>
  </si>
  <si>
    <t xml:space="preserve">综合单价!P4</t>
  </si>
  <si>
    <t xml:space="preserve">可研2.1.1.1只取工作内容</t>
  </si>
  <si>
    <t xml:space="preserve">SF02</t>
  </si>
  <si>
    <t xml:space="preserve">临时施工便道</t>
  </si>
  <si>
    <t xml:space="preserve">宽4 m，碎石+混凝土</t>
  </si>
  <si>
    <t xml:space="preserve">m</t>
  </si>
  <si>
    <t xml:space="preserve">综合单价!P7</t>
  </si>
  <si>
    <t xml:space="preserve">T13，只取长度</t>
  </si>
  <si>
    <t xml:space="preserve">SF03</t>
  </si>
  <si>
    <t xml:space="preserve">洗车池</t>
  </si>
  <si>
    <t xml:space="preserve">5 m×20 m平台+沉淀</t>
  </si>
  <si>
    <t xml:space="preserve">座</t>
  </si>
  <si>
    <t xml:space="preserve">综合单价!P13</t>
  </si>
  <si>
    <t xml:space="preserve">T14</t>
  </si>
  <si>
    <t xml:space="preserve">SF04</t>
  </si>
  <si>
    <t xml:space="preserve">临时阻隔围挡</t>
  </si>
  <si>
    <t xml:space="preserve">2 m彩钢，12个月</t>
  </si>
  <si>
    <t xml:space="preserve">综合单价!P20</t>
  </si>
  <si>
    <t xml:space="preserve">T15</t>
  </si>
  <si>
    <t xml:space="preserve">SF05</t>
  </si>
  <si>
    <t xml:space="preserve">修复场所防渗地面</t>
  </si>
  <si>
    <t xml:space="preserve">两布一膜+15 cm混凝土</t>
  </si>
  <si>
    <t xml:space="preserve">m²</t>
  </si>
  <si>
    <t xml:space="preserve">综合单价!P25</t>
  </si>
  <si>
    <t xml:space="preserve">T16</t>
  </si>
  <si>
    <t xml:space="preserve">SF06</t>
  </si>
  <si>
    <t xml:space="preserve">办公生活板房</t>
  </si>
  <si>
    <t xml:space="preserve">岩棉夹芯板安拆</t>
  </si>
  <si>
    <t xml:space="preserve">综合单价!P32</t>
  </si>
  <si>
    <t xml:space="preserve">T12</t>
  </si>
  <si>
    <t xml:space="preserve">SF22</t>
  </si>
  <si>
    <t xml:space="preserve">防尘网铺设</t>
  </si>
  <si>
    <t xml:space="preserve">材料+铺设</t>
  </si>
  <si>
    <t xml:space="preserve">综合单价!P93</t>
  </si>
  <si>
    <t xml:space="preserve">T17</t>
  </si>
  <si>
    <t xml:space="preserve">SF23</t>
  </si>
  <si>
    <t xml:space="preserve">地表导排沟</t>
  </si>
  <si>
    <t xml:space="preserve">0.3×0.3 m砖沟</t>
  </si>
  <si>
    <t xml:space="preserve">综合单价!P96</t>
  </si>
  <si>
    <t xml:space="preserve">T18</t>
  </si>
  <si>
    <t xml:space="preserve">SF24</t>
  </si>
  <si>
    <t xml:space="preserve">集水池</t>
  </si>
  <si>
    <t xml:space="preserve">4×10×3 m砖砌</t>
  </si>
  <si>
    <t xml:space="preserve">综合单价!P102</t>
  </si>
  <si>
    <t xml:space="preserve">T19</t>
  </si>
  <si>
    <t xml:space="preserve">SF25</t>
  </si>
  <si>
    <t xml:space="preserve">标识标牌</t>
  </si>
  <si>
    <t xml:space="preserve">铝板反光</t>
  </si>
  <si>
    <t xml:space="preserve">个</t>
  </si>
  <si>
    <t xml:space="preserve">综合单价!P109</t>
  </si>
  <si>
    <t xml:space="preserve">T20</t>
  </si>
  <si>
    <t xml:space="preserve">SF27</t>
  </si>
  <si>
    <t xml:space="preserve">机械进出场</t>
  </si>
  <si>
    <t xml:space="preserve">4台机械</t>
  </si>
  <si>
    <t xml:space="preserve">综合单价!P116</t>
  </si>
  <si>
    <t xml:space="preserve">工序</t>
  </si>
  <si>
    <t xml:space="preserve">B清挖筛分</t>
  </si>
  <si>
    <t xml:space="preserve">SF07</t>
  </si>
  <si>
    <t xml:space="preserve">污染土壤清挖及场内短驳</t>
  </si>
  <si>
    <t xml:space="preserve">120 m³/台班+场内200 m</t>
  </si>
  <si>
    <t xml:space="preserve">m³</t>
  </si>
  <si>
    <t xml:space="preserve">综合单价!P38</t>
  </si>
  <si>
    <t xml:space="preserve">T01</t>
  </si>
  <si>
    <t xml:space="preserve">SF08</t>
  </si>
  <si>
    <t xml:space="preserve">筛分破碎</t>
  </si>
  <si>
    <t xml:space="preserve">阿鲁斗至进窑粒径</t>
  </si>
  <si>
    <t xml:space="preserve">综合单价!P42</t>
  </si>
  <si>
    <t xml:space="preserve">T01全量过筛</t>
  </si>
  <si>
    <t xml:space="preserve">C处置</t>
  </si>
  <si>
    <t xml:space="preserve">SF09</t>
  </si>
  <si>
    <t xml:space="preserve">砂卵石清洗</t>
  </si>
  <si>
    <t xml:space="preserve">不含废水</t>
  </si>
  <si>
    <t xml:space="preserve">综合单价!P47</t>
  </si>
  <si>
    <t xml:space="preserve">T02</t>
  </si>
  <si>
    <t xml:space="preserve">SF15</t>
  </si>
  <si>
    <t xml:space="preserve">含汞污染土壤安全处置</t>
  </si>
  <si>
    <t xml:space="preserve">不含运</t>
  </si>
  <si>
    <t xml:space="preserve">综合单价!P67</t>
  </si>
  <si>
    <t xml:space="preserve">T04</t>
  </si>
  <si>
    <t xml:space="preserve">SF13</t>
  </si>
  <si>
    <t xml:space="preserve">水泥窑协同处置</t>
  </si>
  <si>
    <t xml:space="preserve">不含运190元/t</t>
  </si>
  <si>
    <t xml:space="preserve">t</t>
  </si>
  <si>
    <t xml:space="preserve">综合单价!P62</t>
  </si>
  <si>
    <t xml:space="preserve">D01</t>
  </si>
  <si>
    <t xml:space="preserve">D运输</t>
  </si>
  <si>
    <t xml:space="preserve">SF14</t>
  </si>
  <si>
    <t xml:space="preserve">水泥窑密闭运输</t>
  </si>
  <si>
    <t xml:space="preserve">0.80元/t·km×运距</t>
  </si>
  <si>
    <t xml:space="preserve">综合单价!P64</t>
  </si>
  <si>
    <t xml:space="preserve">SF16</t>
  </si>
  <si>
    <t xml:space="preserve">含汞密闭运输</t>
  </si>
  <si>
    <t xml:space="preserve">0.80元/t·km×含汞运距</t>
  </si>
  <si>
    <t xml:space="preserve">综合单价!P69</t>
  </si>
  <si>
    <t xml:space="preserve">D02</t>
  </si>
  <si>
    <t xml:space="preserve">E回填</t>
  </si>
  <si>
    <t xml:space="preserve">SF17</t>
  </si>
  <si>
    <t xml:space="preserve">清洗后砂卵石回填</t>
  </si>
  <si>
    <t xml:space="preserve">短驳+碾压</t>
  </si>
  <si>
    <t xml:space="preserve">综合单价!P72</t>
  </si>
  <si>
    <t xml:space="preserve">SF18</t>
  </si>
  <si>
    <t xml:space="preserve">外购清洁土</t>
  </si>
  <si>
    <t xml:space="preserve">什邡到场</t>
  </si>
  <si>
    <t xml:space="preserve">综合单价!P77</t>
  </si>
  <si>
    <t xml:space="preserve">D07</t>
  </si>
  <si>
    <t xml:space="preserve">SF19</t>
  </si>
  <si>
    <t xml:space="preserve">清洁土分层回填压实</t>
  </si>
  <si>
    <t xml:space="preserve">分层≤300 mm</t>
  </si>
  <si>
    <t xml:space="preserve">综合单价!P79</t>
  </si>
  <si>
    <t xml:space="preserve">F废水</t>
  </si>
  <si>
    <t xml:space="preserve">SF10</t>
  </si>
  <si>
    <t xml:space="preserve">卵石清洗废水预处理</t>
  </si>
  <si>
    <t xml:space="preserve">混凝沉淀运行</t>
  </si>
  <si>
    <t xml:space="preserve">综合单价!P52</t>
  </si>
  <si>
    <t xml:space="preserve">D06</t>
  </si>
  <si>
    <t xml:space="preserve">SF11</t>
  </si>
  <si>
    <t xml:space="preserve">预处理后废水外运</t>
  </si>
  <si>
    <t xml:space="preserve">场外短运</t>
  </si>
  <si>
    <t xml:space="preserve">综合单价!P57</t>
  </si>
  <si>
    <t xml:space="preserve">SF12</t>
  </si>
  <si>
    <t xml:space="preserve">工业污水厂接收</t>
  </si>
  <si>
    <t xml:space="preserve">成本库75元/m³</t>
  </si>
  <si>
    <t xml:space="preserve">综合单价!P60</t>
  </si>
  <si>
    <t xml:space="preserve">G措施</t>
  </si>
  <si>
    <t xml:space="preserve">SF26</t>
  </si>
  <si>
    <t xml:space="preserve">安全文明及降尘</t>
  </si>
  <si>
    <t xml:space="preserve">12个月</t>
  </si>
  <si>
    <t xml:space="preserve">综合单价!P113</t>
  </si>
  <si>
    <t xml:space="preserve">H监测</t>
  </si>
  <si>
    <t xml:space="preserve">SF20</t>
  </si>
  <si>
    <t xml:space="preserve">地下水监测井成井</t>
  </si>
  <si>
    <t xml:space="preserve">深20 m</t>
  </si>
  <si>
    <t xml:space="preserve">口</t>
  </si>
  <si>
    <t xml:space="preserve">综合单价!P84</t>
  </si>
  <si>
    <t xml:space="preserve">T21</t>
  </si>
  <si>
    <t xml:space="preserve">SF21</t>
  </si>
  <si>
    <t xml:space="preserve">地下水长期监测</t>
  </si>
  <si>
    <t xml:space="preserve">铅，外委</t>
  </si>
  <si>
    <t xml:space="preserve">样</t>
  </si>
  <si>
    <t xml:space="preserve">综合单价!P91</t>
  </si>
  <si>
    <t xml:space="preserve">T27</t>
  </si>
  <si>
    <t xml:space="preserve">SF28</t>
  </si>
  <si>
    <t xml:space="preserve">大气监测</t>
  </si>
  <si>
    <t xml:space="preserve">外委</t>
  </si>
  <si>
    <t xml:space="preserve">点次</t>
  </si>
  <si>
    <t xml:space="preserve">综合单价!P120</t>
  </si>
  <si>
    <t xml:space="preserve">T23</t>
  </si>
  <si>
    <t xml:space="preserve">SF29</t>
  </si>
  <si>
    <t xml:space="preserve">噪声监测</t>
  </si>
  <si>
    <t xml:space="preserve">综合单价!P122</t>
  </si>
  <si>
    <t xml:space="preserve">T24</t>
  </si>
  <si>
    <t xml:space="preserve">SF30</t>
  </si>
  <si>
    <t xml:space="preserve">基坑清理效果自检</t>
  </si>
  <si>
    <t xml:space="preserve">超标因子</t>
  </si>
  <si>
    <t xml:space="preserve">综合单价!P124</t>
  </si>
  <si>
    <t xml:space="preserve">T25</t>
  </si>
  <si>
    <t xml:space="preserve">SF31</t>
  </si>
  <si>
    <t xml:space="preserve">卵石清洗效果自检</t>
  </si>
  <si>
    <t xml:space="preserve">综合单价!P126</t>
  </si>
  <si>
    <t xml:space="preserve">T26</t>
  </si>
  <si>
    <t xml:space="preserve">SF32</t>
  </si>
  <si>
    <t xml:space="preserve">场内地磅</t>
  </si>
  <si>
    <t xml:space="preserve">100 t汽车衡，两地块各1台</t>
  </si>
  <si>
    <t xml:space="preserve">台</t>
  </si>
  <si>
    <t xml:space="preserve">综合单价!P128</t>
  </si>
  <si>
    <t xml:space="preserve">不是地泵，也不是进厂过磅杂费</t>
  </si>
  <si>
    <t xml:space="preserve">SF33</t>
  </si>
  <si>
    <t xml:space="preserve">回填土壤监测</t>
  </si>
  <si>
    <t xml:space="preserve">45项+石油烃，施工自检</t>
  </si>
  <si>
    <t xml:space="preserve">综合单价!P134</t>
  </si>
  <si>
    <t xml:space="preserve">T30，不取可研2800元/个</t>
  </si>
  <si>
    <t xml:space="preserve">SF34</t>
  </si>
  <si>
    <t xml:space="preserve">二次污染区域监测</t>
  </si>
  <si>
    <t xml:space="preserve">潜在二次污染区，施工自检</t>
  </si>
  <si>
    <t xml:space="preserve">综合单价!P136</t>
  </si>
  <si>
    <t xml:space="preserve">T31，不取可研2800元/个</t>
  </si>
  <si>
    <t xml:space="preserve">人材机直接费合计</t>
  </si>
  <si>
    <t xml:space="preserve">分部小计（图表数据）</t>
  </si>
  <si>
    <t xml:space="preserve">占直接费</t>
  </si>
  <si>
    <t xml:space="preserve">分部校核</t>
  </si>
  <si>
    <t xml:space="preserve">取费（黄底费率可改，不进综合单价）</t>
  </si>
  <si>
    <t xml:space="preserve">费用名称</t>
  </si>
  <si>
    <t xml:space="preserve">计算基数</t>
  </si>
  <si>
    <t xml:space="preserve">费率</t>
  </si>
  <si>
    <t xml:space="preserve">金额（元）</t>
  </si>
  <si>
    <t xml:space="preserve">金额（万元）</t>
  </si>
  <si>
    <t xml:space="preserve">备注</t>
  </si>
  <si>
    <t xml:space="preserve">一</t>
  </si>
  <si>
    <t xml:space="preserve">人材机直接费</t>
  </si>
  <si>
    <t xml:space="preserve">清单合价</t>
  </si>
  <si>
    <t xml:space="preserve">—</t>
  </si>
  <si>
    <t xml:space="preserve">二</t>
  </si>
  <si>
    <t xml:space="preserve">企业管理费</t>
  </si>
  <si>
    <t xml:space="preserve">直接费×费率</t>
  </si>
  <si>
    <t xml:space="preserve">不进综合单价。默认5%</t>
  </si>
  <si>
    <t xml:space="preserve">三</t>
  </si>
  <si>
    <t xml:space="preserve">利润</t>
  </si>
  <si>
    <t xml:space="preserve">不进综合单价。按直接费4%，不是按直接费+管理费</t>
  </si>
  <si>
    <t xml:space="preserve">四</t>
  </si>
  <si>
    <t xml:space="preserve">税前造价</t>
  </si>
  <si>
    <t xml:space="preserve">直接费+管理费+利润</t>
  </si>
  <si>
    <t xml:space="preserve">增值税计税基数</t>
  </si>
  <si>
    <t xml:space="preserve">五</t>
  </si>
  <si>
    <t xml:space="preserve">增值税</t>
  </si>
  <si>
    <t xml:space="preserve">税前×税率</t>
  </si>
  <si>
    <t xml:space="preserve">3.0%</t>
  </si>
  <si>
    <t xml:space="preserve">建筑服务一般计税9%，川建造价发〔2019〕181号口径</t>
  </si>
  <si>
    <t xml:space="preserve">六</t>
  </si>
  <si>
    <t xml:space="preserve">含税工程造价</t>
  </si>
  <si>
    <t xml:space="preserve">税前+增值税</t>
  </si>
  <si>
    <t xml:space="preserve">本次测算成果。不含可研其他费和预备费</t>
  </si>
  <si>
    <t xml:space="preserve">可研总投资4805.43万元、工程直接费3943.51万元只说明投资口径，不参与本表组价，也不作为单价来源。差额不在本表计算，避免把投资估算价格引进公式。</t>
  </si>
  <si>
    <t xml:space="preserve">综合单价（只含人材机）。消耗量按工序计算，单价VLOOKUP工料机。不使用投资估算单价，管理费、利润、税金不进本表。</t>
  </si>
  <si>
    <t xml:space="preserve">黄底为消耗量。台班单价是工料机表的公式结果。外委仅水泥窑、含汞处置、外购土、污水厂接收和监测化验。改消耗量或资源单价后，P列综合单价自动重算。</t>
  </si>
  <si>
    <t xml:space="preserve">清单编码</t>
  </si>
  <si>
    <t xml:space="preserve">行类</t>
  </si>
  <si>
    <t xml:space="preserve">资源编码</t>
  </si>
  <si>
    <t xml:space="preserve">资源名称</t>
  </si>
  <si>
    <t xml:space="preserve">消耗单位</t>
  </si>
  <si>
    <t xml:space="preserve">消耗量</t>
  </si>
  <si>
    <t xml:space="preserve">单价</t>
  </si>
  <si>
    <t xml:space="preserve">合价</t>
  </si>
  <si>
    <t xml:space="preserve">人工</t>
  </si>
  <si>
    <t xml:space="preserve">材料</t>
  </si>
  <si>
    <t xml:space="preserve">机械</t>
  </si>
  <si>
    <t xml:space="preserve">工序说明</t>
  </si>
  <si>
    <t xml:space="preserve">汇总</t>
  </si>
  <si>
    <t xml:space="preserve">两地块拐点、分层标高、竣工测量</t>
  </si>
  <si>
    <t xml:space="preserve">1.1</t>
  </si>
  <si>
    <t xml:space="preserve">L02</t>
  </si>
  <si>
    <t xml:space="preserve">技术工/带班</t>
  </si>
  <si>
    <t xml:space="preserve">工日</t>
  </si>
  <si>
    <t xml:space="preserve">测量工程师</t>
  </si>
  <si>
    <t xml:space="preserve">1.2</t>
  </si>
  <si>
    <t xml:space="preserve">L01</t>
  </si>
  <si>
    <t xml:space="preserve">普通工</t>
  </si>
  <si>
    <t xml:space="preserve">司尺</t>
  </si>
  <si>
    <t xml:space="preserve">宽4 m：20 cm碎石+15 cm混凝土，不采用可研350元/m</t>
  </si>
  <si>
    <t xml:space="preserve">2.1</t>
  </si>
  <si>
    <t xml:space="preserve">整平、铺筑</t>
  </si>
  <si>
    <t xml:space="preserve">2.2</t>
  </si>
  <si>
    <t xml:space="preserve">AGG</t>
  </si>
  <si>
    <t xml:space="preserve">级配碎石</t>
  </si>
  <si>
    <t xml:space="preserve">4 m×0.20 m</t>
  </si>
  <si>
    <t xml:space="preserve">2.3</t>
  </si>
  <si>
    <t xml:space="preserve">C20</t>
  </si>
  <si>
    <t xml:space="preserve">C20商品混凝土</t>
  </si>
  <si>
    <t xml:space="preserve">4 m×0.15 m</t>
  </si>
  <si>
    <t xml:space="preserve">2.4</t>
  </si>
  <si>
    <t xml:space="preserve">LDR</t>
  </si>
  <si>
    <t xml:space="preserve">装载机50型台班</t>
  </si>
  <si>
    <t xml:space="preserve">台班</t>
  </si>
  <si>
    <t xml:space="preserve">摊铺</t>
  </si>
  <si>
    <t xml:space="preserve">2.5</t>
  </si>
  <si>
    <t xml:space="preserve">RL</t>
  </si>
  <si>
    <t xml:space="preserve">压路机台班</t>
  </si>
  <si>
    <t xml:space="preserve">碾压</t>
  </si>
  <si>
    <t xml:space="preserve">平台5×20×0.25 m钢筋混凝土+砖砌沉淀，不采用可研2万元/座</t>
  </si>
  <si>
    <t xml:space="preserve">3.1</t>
  </si>
  <si>
    <t xml:space="preserve">支模、砌筑</t>
  </si>
  <si>
    <t xml:space="preserve">3.2</t>
  </si>
  <si>
    <t xml:space="preserve">钢筋</t>
  </si>
  <si>
    <t xml:space="preserve">3.3</t>
  </si>
  <si>
    <t xml:space="preserve">WASHB</t>
  </si>
  <si>
    <t xml:space="preserve">洗车池砖砌沉淀体</t>
  </si>
  <si>
    <t xml:space="preserve">砖+砂浆公式</t>
  </si>
  <si>
    <t xml:space="preserve">3.4</t>
  </si>
  <si>
    <t xml:space="preserve">5×20×0.25</t>
  </si>
  <si>
    <t xml:space="preserve">3.5</t>
  </si>
  <si>
    <t xml:space="preserve">HDPE</t>
  </si>
  <si>
    <t xml:space="preserve">HDPE防渗膜1.5mm</t>
  </si>
  <si>
    <t xml:space="preserve">沉淀池内衬</t>
  </si>
  <si>
    <t xml:space="preserve">3.6</t>
  </si>
  <si>
    <t xml:space="preserve">EXC</t>
  </si>
  <si>
    <t xml:space="preserve">挖掘机1.0m³台班</t>
  </si>
  <si>
    <t xml:space="preserve">基坑</t>
  </si>
  <si>
    <t xml:space="preserve">2 m彩钢含基础，12个月，不采用可研100元/m</t>
  </si>
  <si>
    <t xml:space="preserve">4.1</t>
  </si>
  <si>
    <t xml:space="preserve">安拆</t>
  </si>
  <si>
    <t xml:space="preserve">4.2</t>
  </si>
  <si>
    <t xml:space="preserve">CSP</t>
  </si>
  <si>
    <t xml:space="preserve">彩钢板</t>
  </si>
  <si>
    <t xml:space="preserve">2 m高加损耗</t>
  </si>
  <si>
    <t xml:space="preserve">4.3</t>
  </si>
  <si>
    <t xml:space="preserve">基础</t>
  </si>
  <si>
    <t xml:space="preserve">4.4</t>
  </si>
  <si>
    <t xml:space="preserve">CRN</t>
  </si>
  <si>
    <t xml:space="preserve">汽车吊25t台班</t>
  </si>
  <si>
    <t xml:space="preserve">两布一膜+15 cm混凝土。膜为库内1.5 mm，可研写2.0 mm+300 mm黏土，黏土未另计</t>
  </si>
  <si>
    <t xml:space="preserve">5.1</t>
  </si>
  <si>
    <t xml:space="preserve">铺膜、浇筑</t>
  </si>
  <si>
    <t xml:space="preserve">5.2</t>
  </si>
  <si>
    <t xml:space="preserve">焊接</t>
  </si>
  <si>
    <t xml:space="preserve">5.3</t>
  </si>
  <si>
    <t xml:space="preserve">GT</t>
  </si>
  <si>
    <t xml:space="preserve">土工布400g</t>
  </si>
  <si>
    <t xml:space="preserve">上下两层，库内400 g</t>
  </si>
  <si>
    <t xml:space="preserve">5.4</t>
  </si>
  <si>
    <t xml:space="preserve">库内1.5 mm，不是可研2.0 mm包干</t>
  </si>
  <si>
    <t xml:space="preserve">5.5</t>
  </si>
  <si>
    <t xml:space="preserve">保护层</t>
  </si>
  <si>
    <t xml:space="preserve">5.6</t>
  </si>
  <si>
    <t xml:space="preserve">整平</t>
  </si>
  <si>
    <t xml:space="preserve">岩棉夹芯板安拆一次，12个月。不采用可研600元/m²买断</t>
  </si>
  <si>
    <t xml:space="preserve">6.1</t>
  </si>
  <si>
    <t xml:space="preserve">6.2</t>
  </si>
  <si>
    <t xml:space="preserve">水电</t>
  </si>
  <si>
    <t xml:space="preserve">6.3</t>
  </si>
  <si>
    <t xml:space="preserve">BRD</t>
  </si>
  <si>
    <t xml:space="preserve">岩棉夹芯板</t>
  </si>
  <si>
    <t xml:space="preserve">墙屋展开</t>
  </si>
  <si>
    <t xml:space="preserve">6.4</t>
  </si>
  <si>
    <t xml:space="preserve">地坪</t>
  </si>
  <si>
    <t xml:space="preserve">6.5</t>
  </si>
  <si>
    <t xml:space="preserve">吊装</t>
  </si>
  <si>
    <t xml:space="preserve">120 m³/台班开挖+场内约200 m，不采用可研50元/m³</t>
  </si>
  <si>
    <t xml:space="preserve">7.1</t>
  </si>
  <si>
    <t xml:space="preserve">1/120</t>
  </si>
  <si>
    <t xml:space="preserve">7.2</t>
  </si>
  <si>
    <t xml:space="preserve">DMP</t>
  </si>
  <si>
    <t xml:space="preserve">自卸汽车15t台班</t>
  </si>
  <si>
    <t xml:space="preserve">场内短驳</t>
  </si>
  <si>
    <t xml:space="preserve">7.3</t>
  </si>
  <si>
    <t xml:space="preserve">清底、防护</t>
  </si>
  <si>
    <t xml:space="preserve">阿鲁斗至进窑粒径。主机用挖掘机，筛分斗另计。不采用可研60元/m³</t>
  </si>
  <si>
    <t xml:space="preserve">8.1</t>
  </si>
  <si>
    <t xml:space="preserve">上料主机</t>
  </si>
  <si>
    <t xml:space="preserve">8.2</t>
  </si>
  <si>
    <t xml:space="preserve">ALU</t>
  </si>
  <si>
    <t xml:space="preserve">阿鲁斗筛分台班</t>
  </si>
  <si>
    <t xml:space="preserve">与主机同台班</t>
  </si>
  <si>
    <t xml:space="preserve">8.3</t>
  </si>
  <si>
    <t xml:space="preserve">堆料</t>
  </si>
  <si>
    <t xml:space="preserve">8.4</t>
  </si>
  <si>
    <t xml:space="preserve">捡大块</t>
  </si>
  <si>
    <t xml:space="preserve">高压冲洗+药剂，不含废水处置。不采用可研80元/m³</t>
  </si>
  <si>
    <t xml:space="preserve">9.1</t>
  </si>
  <si>
    <t xml:space="preserve">WSHM</t>
  </si>
  <si>
    <t xml:space="preserve">高压冲洗台班</t>
  </si>
  <si>
    <t xml:space="preserve">冲洗</t>
  </si>
  <si>
    <t xml:space="preserve">9.2</t>
  </si>
  <si>
    <t xml:space="preserve">上料</t>
  </si>
  <si>
    <t xml:space="preserve">9.3</t>
  </si>
  <si>
    <t xml:space="preserve">PAC</t>
  </si>
  <si>
    <t xml:space="preserve">聚合氯化铝PAC</t>
  </si>
  <si>
    <t xml:space="preserve">助沉</t>
  </si>
  <si>
    <t xml:space="preserve">9.4</t>
  </si>
  <si>
    <t xml:space="preserve">冲洗、翻堆</t>
  </si>
  <si>
    <t xml:space="preserve">混凝沉淀运行，不含设施建安</t>
  </si>
  <si>
    <t xml:space="preserve">10.1</t>
  </si>
  <si>
    <t xml:space="preserve">混凝</t>
  </si>
  <si>
    <t xml:space="preserve">10.2</t>
  </si>
  <si>
    <t xml:space="preserve">PAM</t>
  </si>
  <si>
    <t xml:space="preserve">聚丙烯酰胺PAM</t>
  </si>
  <si>
    <t xml:space="preserve">助凝</t>
  </si>
  <si>
    <t xml:space="preserve">10.3</t>
  </si>
  <si>
    <t xml:space="preserve">WP</t>
  </si>
  <si>
    <t xml:space="preserve">潜水泵7.5kW台班</t>
  </si>
  <si>
    <t xml:space="preserve">提升</t>
  </si>
  <si>
    <t xml:space="preserve">10.4</t>
  </si>
  <si>
    <t xml:space="preserve">加药、排泥</t>
  </si>
  <si>
    <t xml:space="preserve">10 m³/车，场外短运</t>
  </si>
  <si>
    <t xml:space="preserve">11.1</t>
  </si>
  <si>
    <t xml:space="preserve">罐车近似</t>
  </si>
  <si>
    <t xml:space="preserve">11.2</t>
  </si>
  <si>
    <t xml:space="preserve">装卸</t>
  </si>
  <si>
    <t xml:space="preserve">外委接收，无什邡合同，用成本库75元/m³</t>
  </si>
  <si>
    <t xml:space="preserve">12.1</t>
  </si>
  <si>
    <t xml:space="preserve">WWD</t>
  </si>
  <si>
    <t xml:space="preserve">不拆人材机</t>
  </si>
  <si>
    <t xml:space="preserve">不含运190元/t。不采用可研1100元/m³</t>
  </si>
  <si>
    <t xml:space="preserve">13.1</t>
  </si>
  <si>
    <t xml:space="preserve">KILN</t>
  </si>
  <si>
    <t xml:space="preserve">用户确认</t>
  </si>
  <si>
    <t xml:space="preserve">0.80元/t·km×运距+路桥过磅。不采用可研150元/m³</t>
  </si>
  <si>
    <t xml:space="preserve">14.1</t>
  </si>
  <si>
    <t xml:space="preserve">TRK</t>
  </si>
  <si>
    <t xml:space="preserve">密闭运输单价</t>
  </si>
  <si>
    <t xml:space="preserve">t·km</t>
  </si>
  <si>
    <t xml:space="preserve">运距，黄底在工程量表</t>
  </si>
  <si>
    <t xml:space="preserve">14.2</t>
  </si>
  <si>
    <t xml:space="preserve">TOLL</t>
  </si>
  <si>
    <t xml:space="preserve">高速路桥及过磅</t>
  </si>
  <si>
    <t xml:space="preserve">每吨一次</t>
  </si>
  <si>
    <t xml:space="preserve">2800元/m³，不含运。不采用可研5000元/m³</t>
  </si>
  <si>
    <t xml:space="preserve">15.1</t>
  </si>
  <si>
    <t xml:space="preserve">HG</t>
  </si>
  <si>
    <t xml:space="preserve">川发改价格〔2011〕1776号口径</t>
  </si>
  <si>
    <t xml:space="preserve">0.80元/t·km×含汞运距+路桥。不采用可研100元/m³</t>
  </si>
  <si>
    <t xml:space="preserve">16.1</t>
  </si>
  <si>
    <t xml:space="preserve">含汞运距</t>
  </si>
  <si>
    <t xml:space="preserve">16.2</t>
  </si>
  <si>
    <t xml:space="preserve">场内短驳+分层碾压。不采用可研50元/m³</t>
  </si>
  <si>
    <t xml:space="preserve">17.1</t>
  </si>
  <si>
    <t xml:space="preserve">17.2</t>
  </si>
  <si>
    <t xml:space="preserve">17.3</t>
  </si>
  <si>
    <t xml:space="preserve">17.4</t>
  </si>
  <si>
    <t xml:space="preserve">清底</t>
  </si>
  <si>
    <t xml:space="preserve">什邡周边到场80元/m³。不采用可研120元/m³，不套雅安45元/m³</t>
  </si>
  <si>
    <t xml:space="preserve">18.1</t>
  </si>
  <si>
    <t xml:space="preserve">SOIL</t>
  </si>
  <si>
    <t xml:space="preserve">供方挖装运</t>
  </si>
  <si>
    <t xml:space="preserve">分层不大于300 mm。购置与压实拆开</t>
  </si>
  <si>
    <t xml:space="preserve">19.1</t>
  </si>
  <si>
    <t xml:space="preserve">场内倒运</t>
  </si>
  <si>
    <t xml:space="preserve">19.2</t>
  </si>
  <si>
    <t xml:space="preserve">19.3</t>
  </si>
  <si>
    <t xml:space="preserve">19.4</t>
  </si>
  <si>
    <t xml:space="preserve">深20 m，钻机成井。不是降水井。不采用可研500元/m+2000元/口</t>
  </si>
  <si>
    <t xml:space="preserve">20.1</t>
  </si>
  <si>
    <t xml:space="preserve">RIG</t>
  </si>
  <si>
    <t xml:space="preserve">成井钻机台班</t>
  </si>
  <si>
    <t xml:space="preserve">20 m卵石层</t>
  </si>
  <si>
    <t xml:space="preserve">20.2</t>
  </si>
  <si>
    <t xml:space="preserve">PIPE</t>
  </si>
  <si>
    <t xml:space="preserve">监测井管</t>
  </si>
  <si>
    <t xml:space="preserve">井深</t>
  </si>
  <si>
    <t xml:space="preserve">20.3</t>
  </si>
  <si>
    <t xml:space="preserve">滤料</t>
  </si>
  <si>
    <t xml:space="preserve">20.4</t>
  </si>
  <si>
    <t xml:space="preserve">井台</t>
  </si>
  <si>
    <t xml:space="preserve">20.5</t>
  </si>
  <si>
    <t xml:space="preserve">下管、洗井</t>
  </si>
  <si>
    <t xml:space="preserve">20.6</t>
  </si>
  <si>
    <t xml:space="preserve">成井记录</t>
  </si>
  <si>
    <t xml:space="preserve">外委，指标为铅</t>
  </si>
  <si>
    <t xml:space="preserve">21.1</t>
  </si>
  <si>
    <t xml:space="preserve">GW</t>
  </si>
  <si>
    <t xml:space="preserve">地下水监测外委</t>
  </si>
  <si>
    <t xml:space="preserve">材料+铺设。不采用可研10元/m²</t>
  </si>
  <si>
    <t xml:space="preserve">22.1</t>
  </si>
  <si>
    <t xml:space="preserve">铺设压边</t>
  </si>
  <si>
    <t xml:space="preserve">22.2</t>
  </si>
  <si>
    <t xml:space="preserve">NET</t>
  </si>
  <si>
    <t xml:space="preserve">防尘网</t>
  </si>
  <si>
    <t xml:space="preserve">含损耗</t>
  </si>
  <si>
    <t xml:space="preserve">0.3×0.3 m砖沟。不采用可研500元/m</t>
  </si>
  <si>
    <t xml:space="preserve">23.1</t>
  </si>
  <si>
    <t xml:space="preserve">砌筑</t>
  </si>
  <si>
    <t xml:space="preserve">23.2</t>
  </si>
  <si>
    <t xml:space="preserve">BRK</t>
  </si>
  <si>
    <t xml:space="preserve">页岩配砖</t>
  </si>
  <si>
    <t xml:space="preserve">千块</t>
  </si>
  <si>
    <t xml:space="preserve">沟壁</t>
  </si>
  <si>
    <t xml:space="preserve">23.3</t>
  </si>
  <si>
    <t xml:space="preserve">MOR</t>
  </si>
  <si>
    <t xml:space="preserve">砌筑砂浆M10</t>
  </si>
  <si>
    <t xml:space="preserve">23.4</t>
  </si>
  <si>
    <t xml:space="preserve">沟底</t>
  </si>
  <si>
    <t xml:space="preserve">23.5</t>
  </si>
  <si>
    <t xml:space="preserve">沟槽</t>
  </si>
  <si>
    <t xml:space="preserve">4×10×3 m砖砌。不采用可研3万元/座</t>
  </si>
  <si>
    <t xml:space="preserve">24.1</t>
  </si>
  <si>
    <t xml:space="preserve">24.2</t>
  </si>
  <si>
    <t xml:space="preserve">放线</t>
  </si>
  <si>
    <t xml:space="preserve">24.3</t>
  </si>
  <si>
    <t xml:space="preserve">PIT</t>
  </si>
  <si>
    <t xml:space="preserve">集水池砖砌体</t>
  </si>
  <si>
    <t xml:space="preserve">24.4</t>
  </si>
  <si>
    <t xml:space="preserve">内衬</t>
  </si>
  <si>
    <t xml:space="preserve">24.5</t>
  </si>
  <si>
    <t xml:space="preserve">底板</t>
  </si>
  <si>
    <t xml:space="preserve">24.6</t>
  </si>
  <si>
    <t xml:space="preserve">铝板反光制作安装。不采用可研500元/个</t>
  </si>
  <si>
    <t xml:space="preserve">25.1</t>
  </si>
  <si>
    <t xml:space="preserve">SIGN</t>
  </si>
  <si>
    <t xml:space="preserve">制作</t>
  </si>
  <si>
    <t xml:space="preserve">25.2</t>
  </si>
  <si>
    <t xml:space="preserve">安装</t>
  </si>
  <si>
    <t xml:space="preserve">25.3</t>
  </si>
  <si>
    <t xml:space="preserve">12个月出土期洒水+文明施工人工</t>
  </si>
  <si>
    <t xml:space="preserve">26.1</t>
  </si>
  <si>
    <t xml:space="preserve">12个月巡查</t>
  </si>
  <si>
    <t xml:space="preserve">26.2</t>
  </si>
  <si>
    <t xml:space="preserve">SPR</t>
  </si>
  <si>
    <t xml:space="preserve">洒水车台班</t>
  </si>
  <si>
    <t xml:space="preserve">出土高峰</t>
  </si>
  <si>
    <t xml:space="preserve">4台机械安拆调迁</t>
  </si>
  <si>
    <t xml:space="preserve">27.1</t>
  </si>
  <si>
    <t xml:space="preserve">调迁</t>
  </si>
  <si>
    <t xml:space="preserve">27.2</t>
  </si>
  <si>
    <t xml:space="preserve">27.3</t>
  </si>
  <si>
    <t xml:space="preserve">指挥</t>
  </si>
  <si>
    <t xml:space="preserve">外委。不采用可研1000元/样</t>
  </si>
  <si>
    <t xml:space="preserve">28.1</t>
  </si>
  <si>
    <t xml:space="preserve">AIR</t>
  </si>
  <si>
    <t xml:space="preserve">大气监测外委</t>
  </si>
  <si>
    <t xml:space="preserve">成本库</t>
  </si>
  <si>
    <t xml:space="preserve">外委。不采用可研500元/样</t>
  </si>
  <si>
    <t xml:space="preserve">29.1</t>
  </si>
  <si>
    <t xml:space="preserve">NOI</t>
  </si>
  <si>
    <t xml:space="preserve">噪声监测外委</t>
  </si>
  <si>
    <t xml:space="preserve">超标因子。不采用可研1000元/样。全项不适用</t>
  </si>
  <si>
    <t xml:space="preserve">30.1</t>
  </si>
  <si>
    <t xml:space="preserve">SOILT</t>
  </si>
  <si>
    <t xml:space="preserve">土壤检测外委</t>
  </si>
  <si>
    <t xml:space="preserve">施工自检</t>
  </si>
  <si>
    <t xml:space="preserve">超标因子。不采用可研1000元/样</t>
  </si>
  <si>
    <t xml:space="preserve">31.1</t>
  </si>
  <si>
    <t xml:space="preserve">100 t汽车衡，安拆+基础+12个月摊销。不是进厂过磅12元/t，也不是地泵</t>
  </si>
  <si>
    <t xml:space="preserve">32.1</t>
  </si>
  <si>
    <t xml:space="preserve">WB</t>
  </si>
  <si>
    <t xml:space="preserve">地磅设备摊销</t>
  </si>
  <si>
    <t xml:space="preserve">购置约8万元，摊销1/3</t>
  </si>
  <si>
    <t xml:space="preserve">32.2</t>
  </si>
  <si>
    <t xml:space="preserve">WBF</t>
  </si>
  <si>
    <t xml:space="preserve">地磅基础</t>
  </si>
  <si>
    <t xml:space="preserve">C20基础+引坡</t>
  </si>
  <si>
    <t xml:space="preserve">32.3</t>
  </si>
  <si>
    <t xml:space="preserve">安拆、引坡</t>
  </si>
  <si>
    <t xml:space="preserve">32.4</t>
  </si>
  <si>
    <t xml:space="preserve">标定配合</t>
  </si>
  <si>
    <t xml:space="preserve">32.5</t>
  </si>
  <si>
    <t xml:space="preserve">45项+石油烃。不采用可研2800元/个</t>
  </si>
  <si>
    <t xml:space="preserve">33.1</t>
  </si>
  <si>
    <t xml:space="preserve">FULL</t>
  </si>
  <si>
    <t xml:space="preserve">土壤全项检测外委</t>
  </si>
  <si>
    <t xml:space="preserve">HJ 25.5-2018。不采用可研2800元/个</t>
  </si>
  <si>
    <t xml:space="preserve">34.1</t>
  </si>
  <si>
    <t xml:space="preserve">人材机合计校核</t>
  </si>
  <si>
    <t xml:space="preserve">基础资源单价（F列黄底蓝字）。台班费用折旧+柴油+人工公式计算，不直接填别的项目包干价，也不引用投资估算单价。</t>
  </si>
  <si>
    <t xml:space="preserve">柴油用乐山2026年7月信息价6.37元/L（成本库「柴油-综合-元-L」）。德阳同期信息价未入库，台班公式与旺平模版一致。管理费、利润、税金不在本表。</t>
  </si>
  <si>
    <t xml:space="preserve">类别</t>
  </si>
  <si>
    <t xml:space="preserve">名称</t>
  </si>
  <si>
    <t xml:space="preserve">规格/计算式</t>
  </si>
  <si>
    <t xml:space="preserve">不含税单价（元）</t>
  </si>
  <si>
    <t xml:space="preserve">来源</t>
  </si>
  <si>
    <t xml:space="preserve">DIE</t>
  </si>
  <si>
    <t xml:space="preserve">0号柴油</t>
  </si>
  <si>
    <t xml:space="preserve">乐山信息价</t>
  </si>
  <si>
    <t xml:space="preserve">L</t>
  </si>
  <si>
    <t xml:space="preserve">柴油-综合-元-L</t>
  </si>
  <si>
    <t xml:space="preserve">乐山2026年7月不含税。德阳同期未入库</t>
  </si>
  <si>
    <t xml:space="preserve">清底砌筑铺装巡井</t>
  </si>
  <si>
    <t xml:space="preserve">普通工-太化建安-工日</t>
  </si>
  <si>
    <t xml:space="preserve">测量焊接指挥</t>
  </si>
  <si>
    <t xml:space="preserve">技工（大工/师傅）日工资</t>
  </si>
  <si>
    <t xml:space="preserve">折旧900+柴油×90L+司机</t>
  </si>
  <si>
    <t xml:space="preserve">台班公式</t>
  </si>
  <si>
    <t xml:space="preserve">油耗90 L/台班。不采用可研50元/m³包干</t>
  </si>
  <si>
    <t xml:space="preserve">折旧700+柴油×70L+司机</t>
  </si>
  <si>
    <t xml:space="preserve">油耗70 L/台班</t>
  </si>
  <si>
    <t xml:space="preserve">折旧550+柴油×45L+司机</t>
  </si>
  <si>
    <t xml:space="preserve">场内倒运，不用于长途</t>
  </si>
  <si>
    <t xml:space="preserve">折旧500+柴油×40L+司机</t>
  </si>
  <si>
    <t xml:space="preserve">油耗40 L/台班</t>
  </si>
  <si>
    <t xml:space="preserve">折旧1200+柴油×35L+技工</t>
  </si>
  <si>
    <t xml:space="preserve">油耗35 L/台班</t>
  </si>
  <si>
    <t xml:space="preserve">折旧500+柴油×40L</t>
  </si>
  <si>
    <t xml:space="preserve">筛分设备-ALLU斗-台班对照</t>
  </si>
  <si>
    <t xml:space="preserve">主机折旧另计在挖掘机。本条只计筛分斗，不采用可研60元/m³</t>
  </si>
  <si>
    <t xml:space="preserve">折旧40+电0.89×7.5×6h</t>
  </si>
  <si>
    <t xml:space="preserve">电价0.89元/kWh，与旺平模版同口径</t>
  </si>
  <si>
    <t xml:space="preserve">折旧350+柴油×25L+司机</t>
  </si>
  <si>
    <t xml:space="preserve">降尘，不用渣土车代替</t>
  </si>
  <si>
    <t xml:space="preserve">折旧200+柴油×20L+司机</t>
  </si>
  <si>
    <t xml:space="preserve">卵石冲洗主机。不采用可研80元/m³包干</t>
  </si>
  <si>
    <t xml:space="preserve">TRP</t>
  </si>
  <si>
    <t xml:space="preserve">密闭渣土长途车次</t>
  </si>
  <si>
    <t xml:space="preserve">折旧400+往返油耗+司机</t>
  </si>
  <si>
    <t xml:space="preserve">车次</t>
  </si>
  <si>
    <t xml:space="preserve">车次公式</t>
  </si>
  <si>
    <t xml:space="preserve">实载12 t。运距取水泥窑运距，含汞另在清单按比例调整</t>
  </si>
  <si>
    <t xml:space="preserve">泵送到场</t>
  </si>
  <si>
    <t xml:space="preserve">旺平-c20商品混凝土-元-m3</t>
  </si>
  <si>
    <t xml:space="preserve">库内C30市场均价365减20。不是信息价直接条目</t>
  </si>
  <si>
    <t xml:space="preserve">双光面</t>
  </si>
  <si>
    <t xml:space="preserve">hdpe防渗膜-1-5mm双光面</t>
  </si>
  <si>
    <t xml:space="preserve">成本库。可研写2.0 mm，膜厚差在备注，不按可研300元/m²</t>
  </si>
  <si>
    <t xml:space="preserve">非织造</t>
  </si>
  <si>
    <t xml:space="preserve">非织造土工布-400g</t>
  </si>
  <si>
    <t xml:space="preserve">成本库。可研写600 g，克重差在备注</t>
  </si>
  <si>
    <t xml:space="preserve">200×95×53</t>
  </si>
  <si>
    <t xml:space="preserve">页岩配砖-200×95×53</t>
  </si>
  <si>
    <t xml:space="preserve">重庆2026年6月信息价</t>
  </si>
  <si>
    <t xml:space="preserve">预拌</t>
  </si>
  <si>
    <t xml:space="preserve">砌筑砂浆</t>
  </si>
  <si>
    <t xml:space="preserve">成本库，与旺平模版同价</t>
  </si>
  <si>
    <t xml:space="preserve">便道基层到场</t>
  </si>
  <si>
    <t xml:space="preserve">估价</t>
  </si>
  <si>
    <t xml:space="preserve">库内无什邡碎石到场价，沿用旺平模版78元/m³</t>
  </si>
  <si>
    <t xml:space="preserve">0.5 mm含檩条</t>
  </si>
  <si>
    <t xml:space="preserve">围挡材料，与旺平模版同口径</t>
  </si>
  <si>
    <t xml:space="preserve">6针，只计材料</t>
  </si>
  <si>
    <t xml:space="preserve">不含铺设人工。不采用可研10元/m²综合价</t>
  </si>
  <si>
    <t xml:space="preserve">活动房墙屋展开面积</t>
  </si>
  <si>
    <t xml:space="preserve">由岩棉夹芯板活动房拆出</t>
  </si>
  <si>
    <t xml:space="preserve">不含地面和人工。不采用可研600元/m²买断</t>
  </si>
  <si>
    <t xml:space="preserve">含滤水管、滤料</t>
  </si>
  <si>
    <t xml:space="preserve">库内无井管价，与旺平模版同口径。监测井不是降水井</t>
  </si>
  <si>
    <t xml:space="preserve">聚合氯化铝PAC-元-t</t>
  </si>
  <si>
    <t xml:space="preserve">聚丙烯酰胺pam</t>
  </si>
  <si>
    <t xml:space="preserve">旺平-水泥窑协同处置-不含运-元-t</t>
  </si>
  <si>
    <t xml:space="preserve">用户已确认190元/t不含运。不采用可研1100元/m³</t>
  </si>
  <si>
    <t xml:space="preserve">含汞污染土壤安全处置-元-m3</t>
  </si>
  <si>
    <t xml:space="preserve">川发改价格〔2011〕1776号口径。不采用可研5000元/m³</t>
  </si>
  <si>
    <t xml:space="preserve">什邡周边到场</t>
  </si>
  <si>
    <t xml:space="preserve">什邡-外购清洁土含运</t>
  </si>
  <si>
    <t xml:space="preserve">不套用雅安45元/m³，不采用可研120元/m³</t>
  </si>
  <si>
    <t xml:space="preserve">长距分摊</t>
  </si>
  <si>
    <t xml:space="preserve">高速路桥及进厂过磅杂费-元-t</t>
  </si>
  <si>
    <t xml:space="preserve">元/t·km</t>
  </si>
  <si>
    <t xml:space="preserve">污染土壤场外运输-密闭-元-t-km</t>
  </si>
  <si>
    <t xml:space="preserve">长途按周转量计，不用车次重复计柴油</t>
  </si>
  <si>
    <t xml:space="preserve">无合同价</t>
  </si>
  <si>
    <t xml:space="preserve">旺平-工业污水厂接收处置-元-m3</t>
  </si>
  <si>
    <t xml:space="preserve">无什邡污水厂合同。沿用成本库现行75元/m³，不是可研价</t>
  </si>
  <si>
    <t xml:space="preserve">成本库。不采用可研1000元/样</t>
  </si>
  <si>
    <t xml:space="preserve">成本库。不采用可研500元/样</t>
  </si>
  <si>
    <t xml:space="preserve">铅</t>
  </si>
  <si>
    <t xml:space="preserve">成本库。指标为铅，与库内常规+六价铬口径有差</t>
  </si>
  <si>
    <t xml:space="preserve">检测外委费-土壤水气危废</t>
  </si>
  <si>
    <t xml:space="preserve">施工自检。全项45项不适用此价</t>
  </si>
  <si>
    <t xml:space="preserve">折旧2500+柴油×60L+司机</t>
  </si>
  <si>
    <t xml:space="preserve">卵石层成井。挖机不能成井</t>
  </si>
  <si>
    <t xml:space="preserve">材料+制作。库内无同口径，不采用可研500元/个</t>
  </si>
  <si>
    <t xml:space="preserve">砖8.2千块+砂浆6.5t</t>
  </si>
  <si>
    <t xml:space="preserve">4×10×3 m侧壁。不采用可研30000元/座</t>
  </si>
  <si>
    <t xml:space="preserve">砖1.83千块+砂浆1.8t</t>
  </si>
  <si>
    <t xml:space="preserve">侧池不过车主体，平台另计混凝土</t>
  </si>
  <si>
    <t xml:space="preserve">GB 36600表1的45项+石油烃</t>
  </si>
  <si>
    <t xml:space="preserve">库内无全项独立价，暂用超标因子150元/样。不采用可研2800元/个，待实验室报价替换</t>
  </si>
  <si>
    <t xml:space="preserve">100 t，12个月按购置1/3摊销</t>
  </si>
  <si>
    <t xml:space="preserve">库内无地磅租赁价。购置约8万元，12个月摊销1/3。不是进厂过磅12元/t</t>
  </si>
  <si>
    <t xml:space="preserve">混凝土基础+引坡</t>
  </si>
  <si>
    <t xml:space="preserve">C20×18 m³</t>
  </si>
  <si>
    <t xml:space="preserve">基础混凝土，单价引用C20</t>
  </si>
  <si>
    <t xml:space="preserve">F列输入为蓝字黄底。台班、车次、砖砌体为公式。清单消耗量通过VLOOKUP引用本表F列。改柴油价后，挖掘机、装载机、自卸车、压路机、吊车、筛分斗、冲洗、洒水、钻机、长途车次一起变。 地磅为场内100 t汽车衡，设备摊销28000元/台为估价。全项检测暂用150元/样，不是可研2800元/个。</t>
  </si>
  <si>
    <t xml:space="preserve">工程量计算。黄底为输入，绿字为公式。费用汇总工程量引用本表。本表只取可研方量和临建数量，不取投资估算单价。</t>
  </si>
  <si>
    <t xml:space="preserve">来源：可研1.1.3、表4.3-1、表13.1-1数量列、第6章技术路线。勾稽差应为0。容重、运距、废水系数为假设，黄色可改。</t>
  </si>
  <si>
    <t xml:space="preserve">数值</t>
  </si>
  <si>
    <t xml:space="preserve">公式/口径</t>
  </si>
  <si>
    <t xml:space="preserve">去向</t>
  </si>
  <si>
    <t xml:space="preserve">污染土方清挖筛分</t>
  </si>
  <si>
    <t xml:space="preserve">输入</t>
  </si>
  <si>
    <t xml:space="preserve">可研1.1.3 / 表4.3-1</t>
  </si>
  <si>
    <t xml:space="preserve">清挖、筛分</t>
  </si>
  <si>
    <t xml:space="preserve">金宏+东升合计</t>
  </si>
  <si>
    <t xml:space="preserve">筛分卵石</t>
  </si>
  <si>
    <t xml:space="preserve">清洗、回填</t>
  </si>
  <si>
    <t xml:space="preserve">全部来自东升实业，金宏卵石为0</t>
  </si>
  <si>
    <t xml:space="preserve">T03</t>
  </si>
  <si>
    <t xml:space="preserve">筛分污染土壤</t>
  </si>
  <si>
    <t xml:space="preserve">含汞+水泥窑</t>
  </si>
  <si>
    <t xml:space="preserve">等于含汞+其他</t>
  </si>
  <si>
    <t xml:space="preserve">含汞污染土壤</t>
  </si>
  <si>
    <t xml:space="preserve">单独转运</t>
  </si>
  <si>
    <t xml:space="preserve">T05</t>
  </si>
  <si>
    <t xml:space="preserve">水泥窑协同土壤</t>
  </si>
  <si>
    <t xml:space="preserve">水泥窑</t>
  </si>
  <si>
    <t xml:space="preserve">其他类型污染土壤</t>
  </si>
  <si>
    <t xml:space="preserve">T06</t>
  </si>
  <si>
    <t xml:space="preserve">天然容重</t>
  </si>
  <si>
    <t xml:space="preserve">t/m³</t>
  </si>
  <si>
    <t xml:space="preserve">可研未给实测容重</t>
  </si>
  <si>
    <t xml:space="preserve">吨位换算</t>
  </si>
  <si>
    <t xml:space="preserve">砂卵石地层假设1.6，黄色可改</t>
  </si>
  <si>
    <t xml:space="preserve">T07</t>
  </si>
  <si>
    <t xml:space="preserve">水泥窑运距</t>
  </si>
  <si>
    <t xml:space="preserve">km</t>
  </si>
  <si>
    <t xml:space="preserve">可研未给接收窑</t>
  </si>
  <si>
    <t xml:space="preserve">密闭运输</t>
  </si>
  <si>
    <t xml:space="preserve">马祖镇至德阳/绵竹方向假设40 km</t>
  </si>
  <si>
    <t xml:space="preserve">T08</t>
  </si>
  <si>
    <t xml:space="preserve">含汞危废运距</t>
  </si>
  <si>
    <t xml:space="preserve">可研未给接收单位</t>
  </si>
  <si>
    <t xml:space="preserve">川内持证单位假设80 km</t>
  </si>
  <si>
    <t xml:space="preserve">T09</t>
  </si>
  <si>
    <t xml:space="preserve">密闭车实载</t>
  </si>
  <si>
    <t xml:space="preserve">t/车</t>
  </si>
  <si>
    <t xml:space="preserve">15 t车实载</t>
  </si>
  <si>
    <t xml:space="preserve">与旺平模版同口径</t>
  </si>
  <si>
    <t xml:space="preserve">T10</t>
  </si>
  <si>
    <t xml:space="preserve">往返油耗系数</t>
  </si>
  <si>
    <t xml:space="preserve">L/km</t>
  </si>
  <si>
    <t xml:space="preserve">旺平模版车次公式</t>
  </si>
  <si>
    <t xml:space="preserve">柴油</t>
  </si>
  <si>
    <t xml:space="preserve">单程油耗，公式按往返×2</t>
  </si>
  <si>
    <t xml:space="preserve">T11</t>
  </si>
  <si>
    <t xml:space="preserve">卵石清洗废水系数</t>
  </si>
  <si>
    <t xml:space="preserve">m³/m³</t>
  </si>
  <si>
    <t xml:space="preserve">无实测</t>
  </si>
  <si>
    <t xml:space="preserve">废水</t>
  </si>
  <si>
    <t xml:space="preserve">冲洗废水=卵石方量×系数</t>
  </si>
  <si>
    <t xml:space="preserve">临时办公生活用房</t>
  </si>
  <si>
    <t xml:space="preserve">可研表13.1-1序号1.1数量</t>
  </si>
  <si>
    <t xml:space="preserve">临建</t>
  </si>
  <si>
    <t xml:space="preserve">只取数量，不取600元/m²</t>
  </si>
  <si>
    <t xml:space="preserve">T13</t>
  </si>
  <si>
    <t xml:space="preserve">可研表13.1-1序号1.2数量</t>
  </si>
  <si>
    <t xml:space="preserve">宽4 m，只取长度</t>
  </si>
  <si>
    <t xml:space="preserve">可研表13.1-1序号1.3数量</t>
  </si>
  <si>
    <t xml:space="preserve">每地块1座，5 m×20 m</t>
  </si>
  <si>
    <t xml:space="preserve">可研表13.1-1序号1.4数量</t>
  </si>
  <si>
    <t xml:space="preserve">只取长度</t>
  </si>
  <si>
    <t xml:space="preserve">可研表13.1-1序号2.1.1.2数量</t>
  </si>
  <si>
    <t xml:space="preserve">暂存及预处理区</t>
  </si>
  <si>
    <t xml:space="preserve">可研表13.1-1序号2.3.1数量</t>
  </si>
  <si>
    <t xml:space="preserve">裸土及堆场</t>
  </si>
  <si>
    <t xml:space="preserve">可研表13.1-1序号2.3.2数量</t>
  </si>
  <si>
    <t xml:space="preserve">净宽0.3 m×深0.3 m</t>
  </si>
  <si>
    <t xml:space="preserve">可研表13.1-1序号2.3.3数量</t>
  </si>
  <si>
    <t xml:space="preserve">4 m×10 m×3 m，每地块1座</t>
  </si>
  <si>
    <t xml:space="preserve">可研表13.1-1序号2.3.4数量</t>
  </si>
  <si>
    <t xml:space="preserve">只取个数</t>
  </si>
  <si>
    <t xml:space="preserve">地下水监测井</t>
  </si>
  <si>
    <t xml:space="preserve">可研表13.1-1序号2.2.1</t>
  </si>
  <si>
    <t xml:space="preserve">监测井</t>
  </si>
  <si>
    <t xml:space="preserve">井深20 m，总深200 m，不是降水井</t>
  </si>
  <si>
    <t xml:space="preserve">T22</t>
  </si>
  <si>
    <t xml:space="preserve">监测井深度</t>
  </si>
  <si>
    <t xml:space="preserve">m/口</t>
  </si>
  <si>
    <t xml:space="preserve">可研表13.1-1备注</t>
  </si>
  <si>
    <t xml:space="preserve">成井</t>
  </si>
  <si>
    <t xml:space="preserve">总深=口数×井深</t>
  </si>
  <si>
    <t xml:space="preserve">可研9点×6次</t>
  </si>
  <si>
    <t xml:space="preserve">监测</t>
  </si>
  <si>
    <t xml:space="preserve">拆成点次，不按次包干</t>
  </si>
  <si>
    <t xml:space="preserve">可研6点×6次</t>
  </si>
  <si>
    <t xml:space="preserve">拆成点次</t>
  </si>
  <si>
    <t xml:space="preserve">基坑清理自检样品</t>
  </si>
  <si>
    <t xml:space="preserve">可研表13.1-1序号3.3.1数量</t>
  </si>
  <si>
    <t xml:space="preserve">自检</t>
  </si>
  <si>
    <t xml:space="preserve">施工自检，不是第三方效果评估</t>
  </si>
  <si>
    <t xml:space="preserve">卵石清洗自检样品</t>
  </si>
  <si>
    <t xml:space="preserve">可研表13.1-1序号3.3.2数量</t>
  </si>
  <si>
    <t xml:space="preserve">附着物样品</t>
  </si>
  <si>
    <t xml:space="preserve">地下水长期监测样品</t>
  </si>
  <si>
    <t xml:space="preserve">10口×4批次</t>
  </si>
  <si>
    <t xml:space="preserve">可研表13.1-1序号2.2.3数量口径</t>
  </si>
  <si>
    <t xml:space="preserve">T28</t>
  </si>
  <si>
    <t xml:space="preserve">工期</t>
  </si>
  <si>
    <t xml:space="preserve">月</t>
  </si>
  <si>
    <t xml:space="preserve">可研1.1.6</t>
  </si>
  <si>
    <t xml:space="preserve">摊销</t>
  </si>
  <si>
    <t xml:space="preserve">2026年8月至2027年7月</t>
  </si>
  <si>
    <t xml:space="preserve">T29</t>
  </si>
  <si>
    <t xml:space="preserve">修复面积</t>
  </si>
  <si>
    <t xml:space="preserve">规模</t>
  </si>
  <si>
    <t xml:space="preserve">风险管控或修复土壤面积</t>
  </si>
  <si>
    <t xml:space="preserve">T30</t>
  </si>
  <si>
    <t xml:space="preserve">回填土壤监测样品</t>
  </si>
  <si>
    <t xml:space="preserve">可研表13.1-1序号3.3.3数量</t>
  </si>
  <si>
    <t xml:space="preserve">HJ 25.5-2018约40个。只取数量，不取2800元/个</t>
  </si>
  <si>
    <t xml:space="preserve">T31</t>
  </si>
  <si>
    <t xml:space="preserve">二次污染区域样品</t>
  </si>
  <si>
    <t xml:space="preserve">可研表13.1-1序号3.3.4数量</t>
  </si>
  <si>
    <t xml:space="preserve">HJ 25.5-2018潜在二次污染区20个。只取数量，不取2800元/个</t>
  </si>
  <si>
    <t xml:space="preserve">T32</t>
  </si>
  <si>
    <t xml:space="preserve">两地块各1台</t>
  </si>
  <si>
    <t xml:space="preserve">出场计量</t>
  </si>
  <si>
    <t xml:space="preserve">可研7.5.6.2汽车衡在水泥厂。本条是场内100 t地磅，数量为假设</t>
  </si>
  <si>
    <t xml:space="preserve">派生工程量（公式，绿色）。改黄色输入后自动重算。</t>
  </si>
  <si>
    <t xml:space="preserve">水泥窑处置吨位</t>
  </si>
  <si>
    <t xml:space="preserve">T05×容重</t>
  </si>
  <si>
    <t xml:space="preserve">公式</t>
  </si>
  <si>
    <t xml:space="preserve">水泥窑、运输</t>
  </si>
  <si>
    <t xml:space="preserve">不采用可研按方计价</t>
  </si>
  <si>
    <t xml:space="preserve">含汞处置吨位</t>
  </si>
  <si>
    <t xml:space="preserve">T04×容重</t>
  </si>
  <si>
    <t xml:space="preserve">运输</t>
  </si>
  <si>
    <t xml:space="preserve">处置仍按立方米外委</t>
  </si>
  <si>
    <t xml:space="preserve">D03</t>
  </si>
  <si>
    <t xml:space="preserve">水泥窑运输周转量</t>
  </si>
  <si>
    <t xml:space="preserve">吨位×运距</t>
  </si>
  <si>
    <t xml:space="preserve">运距黄色可改</t>
  </si>
  <si>
    <t xml:space="preserve">D04</t>
  </si>
  <si>
    <t xml:space="preserve">含汞运输周转量</t>
  </si>
  <si>
    <t xml:space="preserve">D05</t>
  </si>
  <si>
    <t xml:space="preserve">水泥窑车次</t>
  </si>
  <si>
    <t xml:space="preserve">吨位/实载</t>
  </si>
  <si>
    <t xml:space="preserve">运输校核</t>
  </si>
  <si>
    <t xml:space="preserve">15 t车实载12 t</t>
  </si>
  <si>
    <t xml:space="preserve">卵石清洗废水量</t>
  </si>
  <si>
    <t xml:space="preserve">卵石方量×废水系数</t>
  </si>
  <si>
    <t xml:space="preserve">系数0.15为假设</t>
  </si>
  <si>
    <t xml:space="preserve">等于筛分污染土壤</t>
  </si>
  <si>
    <t xml:space="preserve">回填</t>
  </si>
  <si>
    <t xml:space="preserve">外运土壤由清洁土补回</t>
  </si>
  <si>
    <t xml:space="preserve">D08</t>
  </si>
  <si>
    <t xml:space="preserve">监测井总深</t>
  </si>
  <si>
    <t xml:space="preserve">口数×井深</t>
  </si>
  <si>
    <t xml:space="preserve">应为200 m</t>
  </si>
  <si>
    <t xml:space="preserve">D09</t>
  </si>
  <si>
    <t xml:space="preserve">筛分勾稽</t>
  </si>
  <si>
    <t xml:space="preserve">T03-T04-T05</t>
  </si>
  <si>
    <t xml:space="preserve">校核</t>
  </si>
  <si>
    <t xml:space="preserve">应为0</t>
  </si>
  <si>
    <t xml:space="preserve">D10</t>
  </si>
  <si>
    <t xml:space="preserve">清挖勾稽</t>
  </si>
  <si>
    <t xml:space="preserve">T01−T02−T03</t>
  </si>
  <si>
    <t xml:space="preserve">不含：基坑支护、降水（可研第14.2条明确未设计）、前期咨询、勘察、初设、施工图预算、环境监理、第三方效果评估服务费、招标代理、预备费、建设单位管理费。回填土壤监测和二次污染区域按施工自检列入。场内地磅与进厂过磅杂费不是同一项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</si>
</sst>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;\-"/>
    <numFmt numFmtId="166" formatCode="0.0%"/>
    <numFmt numFmtId="167" formatCode="#,##0"/>
    <numFmt numFmtId="168" formatCode="0.0000"/>
  </numFmts>
  <fonts count="21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20"/>
      <color rgb="FF0D3B66"/>
      <name val="微软雅黑"/>
      <family val="0"/>
      <charset val="1"/>
    </font>
    <font>
      <sz val="10"/>
      <color rgb="FF595959"/>
      <name val="微软雅黑"/>
      <family val="0"/>
      <charset val="1"/>
    </font>
    <font>
      <sz val="9"/>
      <color rgb="FF1F4E79"/>
      <name val="微软雅黑"/>
      <family val="0"/>
      <charset val="1"/>
    </font>
    <font>
      <b val="true"/>
      <sz val="11"/>
      <color rgb="FF1F4E79"/>
      <name val="微软雅黑"/>
      <family val="0"/>
      <charset val="1"/>
    </font>
    <font>
      <b val="true"/>
      <sz val="9"/>
      <color rgb="FFFFFFFF"/>
      <name val="微软雅黑"/>
      <family val="0"/>
      <charset val="1"/>
    </font>
    <font>
      <sz val="9"/>
      <color rgb="FF333333"/>
      <name val="微软雅黑"/>
      <family val="0"/>
      <charset val="1"/>
    </font>
    <font>
      <sz val="9"/>
      <color rgb="FF006600"/>
      <name val="微软雅黑"/>
      <family val="0"/>
      <charset val="1"/>
    </font>
    <font>
      <sz val="8"/>
      <color rgb="FF595959"/>
      <name val="微软雅黑"/>
      <family val="0"/>
      <charset val="1"/>
    </font>
    <font>
      <b val="true"/>
      <sz val="16"/>
      <color rgb="FFFFFFFF"/>
      <name val="微软雅黑"/>
      <family val="0"/>
      <charset val="1"/>
    </font>
    <font>
      <b val="true"/>
      <sz val="9"/>
      <color rgb="FF1F4E79"/>
      <name val="微软雅黑"/>
      <family val="0"/>
      <charset val="1"/>
    </font>
    <font>
      <sz val="9"/>
      <color rgb="FF0000FF"/>
      <name val="微软雅黑"/>
      <family val="0"/>
      <charset val="1"/>
    </font>
    <font>
      <sz val="9"/>
      <color rgb="FF000000"/>
      <name val="微软雅黑"/>
      <family val="0"/>
      <charset val="1"/>
    </font>
    <font>
      <b val="true"/>
      <sz val="10"/>
      <color rgb="FFFFFFFF"/>
      <name val="微软雅黑"/>
      <family val="0"/>
      <charset val="1"/>
    </font>
    <font>
      <b val="true"/>
      <sz val="18"/>
      <color rgb="FF000000"/>
      <name val="Noto Sans SC"/>
      <family val="2"/>
    </font>
    <font>
      <sz val="10"/>
      <color rgb="FF000000"/>
      <name val="Noto Sans SC"/>
      <family val="2"/>
    </font>
    <font>
      <sz val="9"/>
      <color rgb="FFFFFFFF"/>
      <name val="微软雅黑"/>
      <family val="0"/>
      <charset val="1"/>
    </font>
    <font>
      <sz val="8"/>
      <color rgb="FFFFFFFF"/>
      <name val="微软雅黑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D3B66"/>
      </patternFill>
    </fill>
    <fill>
      <patternFill patternType="solid">
        <fgColor rgb="FFFFFFFF"/>
        <bgColor rgb="FFF7F9FB"/>
      </patternFill>
    </fill>
    <fill>
      <patternFill patternType="solid">
        <fgColor rgb="FFE2EFDA"/>
        <bgColor rgb="FFD6E3F0"/>
      </patternFill>
    </fill>
    <fill>
      <patternFill patternType="solid">
        <fgColor rgb="FFF7F9FB"/>
        <bgColor rgb="FFFFFFFF"/>
      </patternFill>
    </fill>
    <fill>
      <patternFill patternType="solid">
        <fgColor rgb="FFD6E3F0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C65911"/>
        <bgColor rgb="FFAB4744"/>
      </patternFill>
    </fill>
    <fill>
      <patternFill patternType="solid">
        <fgColor rgb="FFFCE4D6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C3CE"/>
      </left>
      <right style="thin">
        <color rgb="FFB7C3CE"/>
      </right>
      <top style="thin">
        <color rgb="FFB7C3CE"/>
      </top>
      <bottom style="thin">
        <color rgb="FFB7C3CE"/>
      </bottom>
      <diagonal/>
    </border>
    <border diagonalUp="false" diagonalDown="false">
      <left/>
      <right/>
      <top style="thin">
        <color rgb="FFB7C3CE"/>
      </top>
      <bottom style="thin">
        <color rgb="FFB7C3CE"/>
      </bottom>
      <diagonal/>
    </border>
    <border diagonalUp="false" diagonalDown="false">
      <left/>
      <right style="thin">
        <color rgb="FFB7C3CE"/>
      </right>
      <top style="thin">
        <color rgb="FFB7C3CE"/>
      </top>
      <bottom style="thin">
        <color rgb="FFB7C3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1" fillId="6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5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4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7F9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66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6E3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7C3CE"/>
      <rgbColor rgb="FF4F81BD"/>
      <rgbColor rgb="FF93A9CE"/>
      <rgbColor rgb="FFAB4744"/>
      <rgbColor rgb="FFFFF2CC"/>
      <rgbColor rgb="FFD6E3F0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B"/>
      <rgbColor rgb="FFE2EFDA"/>
      <rgbColor rgb="FFFFFF99"/>
      <rgbColor rgb="FFB3B3B3"/>
      <rgbColor rgb="FFD09493"/>
      <rgbColor rgb="FFCC99FF"/>
      <rgbColor rgb="FFFCE4D6"/>
      <rgbColor rgb="FF4672A8"/>
      <rgbColor rgb="FF33CCCC"/>
      <rgbColor rgb="FF99CC00"/>
      <rgbColor rgb="FFFFCC00"/>
      <rgbColor rgb="FFFF9900"/>
      <rgbColor rgb="FFC65911"/>
      <rgbColor rgb="FF725990"/>
      <rgbColor rgb="FF8AA64F"/>
      <rgbColor rgb="FF0D3B66"/>
      <rgbColor rgb="FF4299B0"/>
      <rgbColor rgb="FF003300"/>
      <rgbColor rgb="FF333300"/>
      <rgbColor rgb="FF993300"/>
      <rgbColor rgb="FF595959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分部直接费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费用汇总!B41</c:f>
              <c:strCache>
                <c:ptCount val="1"/>
                <c:pt idx="0">
                  <c:v>合价（元）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费用汇总!$A$42:$A$49</c:f>
              <c:strCache>
                <c:ptCount val="8"/>
                <c:pt idx="0">
                  <c:v>A临建</c:v>
                </c:pt>
                <c:pt idx="1">
                  <c:v>B清挖筛分</c:v>
                </c:pt>
                <c:pt idx="2">
                  <c:v>C处置</c:v>
                </c:pt>
                <c:pt idx="3">
                  <c:v>D运输</c:v>
                </c:pt>
                <c:pt idx="4">
                  <c:v>E回填</c:v>
                </c:pt>
                <c:pt idx="5">
                  <c:v>F废水</c:v>
                </c:pt>
                <c:pt idx="6">
                  <c:v>G措施</c:v>
                </c:pt>
                <c:pt idx="7">
                  <c:v>H监测</c:v>
                </c:pt>
              </c:strCache>
            </c:strRef>
          </c:cat>
          <c:val>
            <c:numRef>
              <c:f>费用汇总!$B$42:$B$49</c:f>
              <c:numCache>
                <c:formatCode>#,##0.00;\(#,##0.00\);\-</c:formatCode>
                <c:ptCount val="8"/>
                <c:pt idx="0">
                  <c:v>1065034.87</c:v>
                </c:pt>
                <c:pt idx="1">
                  <c:v>1566490.0982085</c:v>
                </c:pt>
                <c:pt idx="2">
                  <c:v>6027738.419012</c:v>
                </c:pt>
                <c:pt idx="3">
                  <c:v>1223252.224</c:v>
                </c:pt>
                <c:pt idx="4">
                  <c:v>1791206.523736</c:v>
                </c:pt>
                <c:pt idx="5">
                  <c:v>313709.6822805</c:v>
                </c:pt>
                <c:pt idx="6">
                  <c:v>100740</c:v>
                </c:pt>
                <c:pt idx="7">
                  <c:v>203190.4</c:v>
                </c:pt>
              </c:numCache>
            </c:numRef>
          </c:val>
        </c:ser>
        <c:gapWidth val="150"/>
        <c:overlap val="0"/>
        <c:axId val="32158705"/>
        <c:axId val="85330379"/>
      </c:barChart>
      <c:catAx>
        <c:axId val="321587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330379"/>
        <c:crosses val="autoZero"/>
        <c:auto val="1"/>
        <c:lblAlgn val="ctr"/>
        <c:lblOffset val="100"/>
        <c:noMultiLvlLbl val="0"/>
      </c:catAx>
      <c:valAx>
        <c:axId val="853303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1587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分部占比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费用汇总!B41</c:f>
              <c:strCache>
                <c:ptCount val="1"/>
                <c:pt idx="0">
                  <c:v>合价（元）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费用汇总!$A$42:$A$49</c:f>
              <c:strCache>
                <c:ptCount val="8"/>
                <c:pt idx="0">
                  <c:v>A临建</c:v>
                </c:pt>
                <c:pt idx="1">
                  <c:v>B清挖筛分</c:v>
                </c:pt>
                <c:pt idx="2">
                  <c:v>C处置</c:v>
                </c:pt>
                <c:pt idx="3">
                  <c:v>D运输</c:v>
                </c:pt>
                <c:pt idx="4">
                  <c:v>E回填</c:v>
                </c:pt>
                <c:pt idx="5">
                  <c:v>F废水</c:v>
                </c:pt>
                <c:pt idx="6">
                  <c:v>G措施</c:v>
                </c:pt>
                <c:pt idx="7">
                  <c:v>H监测</c:v>
                </c:pt>
              </c:strCache>
            </c:strRef>
          </c:cat>
          <c:val>
            <c:numRef>
              <c:f>费用汇总!$B$42:$B$49</c:f>
              <c:numCache>
                <c:formatCode>#,##0.00;\(#,##0.00\);\-</c:formatCode>
                <c:ptCount val="8"/>
                <c:pt idx="0">
                  <c:v>1065034.87</c:v>
                </c:pt>
                <c:pt idx="1">
                  <c:v>1566490.0982085</c:v>
                </c:pt>
                <c:pt idx="2">
                  <c:v>6027738.419012</c:v>
                </c:pt>
                <c:pt idx="3">
                  <c:v>1223252.224</c:v>
                </c:pt>
                <c:pt idx="4">
                  <c:v>1791206.523736</c:v>
                </c:pt>
                <c:pt idx="5">
                  <c:v>313709.6822805</c:v>
                </c:pt>
                <c:pt idx="6">
                  <c:v>100740</c:v>
                </c:pt>
                <c:pt idx="7">
                  <c:v>203190.4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62</xdr:row>
      <xdr:rowOff>0</xdr:rowOff>
    </xdr:from>
    <xdr:to>
      <xdr:col>4</xdr:col>
      <xdr:colOff>1028880</xdr:colOff>
      <xdr:row>75</xdr:row>
      <xdr:rowOff>41760</xdr:rowOff>
    </xdr:to>
    <xdr:graphicFrame>
      <xdr:nvGraphicFramePr>
        <xdr:cNvPr id="1" name="Chart 1"/>
        <xdr:cNvGraphicFramePr/>
      </xdr:nvGraphicFramePr>
      <xdr:xfrm>
        <a:off x="0" y="17954640"/>
        <a:ext cx="5398200" cy="25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62</xdr:row>
      <xdr:rowOff>0</xdr:rowOff>
    </xdr:from>
    <xdr:to>
      <xdr:col>6</xdr:col>
      <xdr:colOff>1074960</xdr:colOff>
      <xdr:row>75</xdr:row>
      <xdr:rowOff>41760</xdr:rowOff>
    </xdr:to>
    <xdr:graphicFrame>
      <xdr:nvGraphicFramePr>
        <xdr:cNvPr id="2" name="Chart 2"/>
        <xdr:cNvGraphicFramePr/>
      </xdr:nvGraphicFramePr>
      <xdr:xfrm>
        <a:off x="4369320" y="17954640"/>
        <a:ext cx="4318200" cy="25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2:F29"/>
  <sheetViews>
    <sheetView showFormulas="false" showGridLines="false" showRowColHeaders="true" showZeros="true" rightToLeft="false" tabSelected="true" showOutlineSymbols="true" defaultGridColor="true" view="pageBreakPreview" topLeftCell="A1" colorId="64" zoomScale="110" zoomScaleNormal="100" zoomScalePageLayoutView="11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0.01"/>
    <col collapsed="false" customWidth="true" hidden="false" outlineLevel="0" max="3" min="3" style="1" width="32.76"/>
    <col collapsed="false" customWidth="true" hidden="false" outlineLevel="0" max="4" min="4" style="1" width="14.56"/>
    <col collapsed="false" customWidth="true" hidden="false" outlineLevel="0" max="5" min="5" style="1" width="16.38"/>
    <col collapsed="false" customWidth="true" hidden="false" outlineLevel="0" max="6" min="6" style="1" width="38.21"/>
    <col collapsed="false" customWidth="true" hidden="false" outlineLevel="0" max="7" min="7" style="1" width="14.56"/>
  </cols>
  <sheetData>
    <row r="2" customFormat="false" ht="51.75" hidden="false" customHeight="true" outlineLevel="0" collapsed="false">
      <c r="A2" s="2" t="s">
        <v>0</v>
      </c>
      <c r="B2" s="2"/>
      <c r="C2" s="2"/>
      <c r="D2" s="2"/>
      <c r="E2" s="2"/>
      <c r="F2" s="2"/>
    </row>
    <row r="3" customFormat="false" ht="13.5" hidden="false" customHeight="true" outlineLevel="0" collapsed="false">
      <c r="A3" s="3" t="s">
        <v>1</v>
      </c>
      <c r="B3" s="3"/>
      <c r="C3" s="3"/>
      <c r="D3" s="3"/>
      <c r="E3" s="3"/>
      <c r="F3" s="3"/>
    </row>
    <row r="5" customFormat="false" ht="31.5" hidden="false" customHeight="true" outlineLevel="0" collapsed="false">
      <c r="A5" s="4" t="s">
        <v>2</v>
      </c>
      <c r="B5" s="4"/>
      <c r="C5" s="4"/>
      <c r="D5" s="4"/>
      <c r="E5" s="4"/>
      <c r="F5" s="4"/>
    </row>
    <row r="7" customFormat="false" ht="15" hidden="false" customHeight="true" outlineLevel="0" collapsed="false">
      <c r="A7" s="5" t="s">
        <v>3</v>
      </c>
      <c r="B7" s="5"/>
      <c r="C7" s="5"/>
    </row>
    <row r="8" customFormat="false" ht="15" hidden="false" customHeight="true" outlineLevel="0" collapsed="false">
      <c r="A8" s="6" t="s">
        <v>4</v>
      </c>
      <c r="B8" s="6" t="s">
        <v>5</v>
      </c>
      <c r="C8" s="6" t="s">
        <v>6</v>
      </c>
    </row>
    <row r="9" customFormat="false" ht="19.5" hidden="false" customHeight="true" outlineLevel="0" collapsed="false">
      <c r="A9" s="7" t="s">
        <v>7</v>
      </c>
      <c r="B9" s="8" t="n">
        <f aca="false">费用汇总!E59</f>
        <v>13293108.2379418</v>
      </c>
      <c r="C9" s="9" t="s">
        <v>8</v>
      </c>
    </row>
    <row r="10" customFormat="false" ht="19.5" hidden="false" customHeight="true" outlineLevel="0" collapsed="false">
      <c r="A10" s="10" t="s">
        <v>9</v>
      </c>
      <c r="B10" s="8" t="n">
        <f aca="false">费用汇总!F59</f>
        <v>1329.31082379418</v>
      </c>
      <c r="C10" s="9" t="s">
        <v>10</v>
      </c>
    </row>
    <row r="11" customFormat="false" ht="19.5" hidden="false" customHeight="true" outlineLevel="0" collapsed="false">
      <c r="A11" s="7" t="s">
        <v>11</v>
      </c>
      <c r="B11" s="8" t="n">
        <f aca="false">费用汇总!E54</f>
        <v>12291362.217237</v>
      </c>
      <c r="C11" s="9" t="s">
        <v>12</v>
      </c>
    </row>
    <row r="12" customFormat="false" ht="19.5" hidden="false" customHeight="true" outlineLevel="0" collapsed="false">
      <c r="A12" s="10" t="s">
        <v>13</v>
      </c>
      <c r="B12" s="8" t="n">
        <f aca="false">费用汇总!E55</f>
        <v>614568.11086185</v>
      </c>
      <c r="C12" s="9" t="s">
        <v>14</v>
      </c>
    </row>
    <row r="13" customFormat="false" ht="19.5" hidden="false" customHeight="true" outlineLevel="0" collapsed="false">
      <c r="A13" s="7" t="s">
        <v>15</v>
      </c>
      <c r="B13" s="8" t="n">
        <f aca="false">费用汇总!E56</f>
        <v>0</v>
      </c>
      <c r="C13" s="9" t="s">
        <v>16</v>
      </c>
    </row>
    <row r="14" customFormat="false" ht="19.5" hidden="false" customHeight="true" outlineLevel="0" collapsed="false">
      <c r="A14" s="10" t="s">
        <v>17</v>
      </c>
      <c r="B14" s="8" t="n">
        <f aca="false">费用汇总!E58</f>
        <v>387177.909842965</v>
      </c>
      <c r="C14" s="9" t="s">
        <v>18</v>
      </c>
    </row>
    <row r="15" customFormat="false" ht="19.5" hidden="false" customHeight="true" outlineLevel="0" collapsed="false">
      <c r="A15" s="7" t="s">
        <v>19</v>
      </c>
      <c r="B15" s="8" t="n">
        <f aca="false">工程量计算!C4</f>
        <v>33728.15</v>
      </c>
      <c r="C15" s="9" t="s">
        <v>20</v>
      </c>
    </row>
    <row r="16" customFormat="false" ht="19.5" hidden="false" customHeight="true" outlineLevel="0" collapsed="false">
      <c r="A16" s="10" t="s">
        <v>21</v>
      </c>
      <c r="B16" s="8" t="n">
        <f aca="false">工程量计算!C38</f>
        <v>27241.136</v>
      </c>
      <c r="C16" s="9" t="s">
        <v>22</v>
      </c>
    </row>
    <row r="17" customFormat="false" ht="19.5" hidden="false" customHeight="true" outlineLevel="0" collapsed="false">
      <c r="A17" s="7" t="s">
        <v>23</v>
      </c>
      <c r="B17" s="8" t="n">
        <f aca="false">工程量计算!C7</f>
        <v>202.65</v>
      </c>
      <c r="C17" s="9" t="s">
        <v>24</v>
      </c>
    </row>
    <row r="18" customFormat="false" ht="19.5" hidden="false" customHeight="true" outlineLevel="0" collapsed="false">
      <c r="A18" s="10" t="s">
        <v>25</v>
      </c>
      <c r="B18" s="8" t="n">
        <f aca="false">工程量计算!C46+工程量计算!C47</f>
        <v>0</v>
      </c>
      <c r="C18" s="9" t="s">
        <v>26</v>
      </c>
    </row>
    <row r="20" customFormat="false" ht="15" hidden="false" customHeight="true" outlineLevel="0" collapsed="false">
      <c r="A20" s="11" t="s">
        <v>6</v>
      </c>
    </row>
    <row r="21" customFormat="false" ht="21.75" hidden="false" customHeight="true" outlineLevel="0" collapsed="false">
      <c r="A21" s="12" t="s">
        <v>27</v>
      </c>
      <c r="B21" s="12"/>
      <c r="C21" s="12"/>
      <c r="D21" s="12"/>
      <c r="E21" s="12"/>
      <c r="F21" s="12"/>
    </row>
    <row r="22" customFormat="false" ht="19.5" hidden="false" customHeight="true" outlineLevel="0" collapsed="false">
      <c r="A22" s="12" t="s">
        <v>28</v>
      </c>
      <c r="B22" s="12"/>
      <c r="C22" s="12"/>
      <c r="D22" s="12"/>
      <c r="E22" s="12"/>
      <c r="F22" s="12"/>
    </row>
    <row r="23" customFormat="false" ht="19.5" hidden="false" customHeight="true" outlineLevel="0" collapsed="false">
      <c r="A23" s="12" t="s">
        <v>29</v>
      </c>
      <c r="B23" s="12"/>
      <c r="C23" s="12"/>
      <c r="D23" s="12"/>
      <c r="E23" s="12"/>
      <c r="F23" s="12"/>
    </row>
    <row r="24" customFormat="false" ht="19.5" hidden="false" customHeight="true" outlineLevel="0" collapsed="false">
      <c r="A24" s="12" t="s">
        <v>30</v>
      </c>
      <c r="B24" s="12"/>
      <c r="C24" s="12"/>
      <c r="D24" s="12"/>
      <c r="E24" s="12"/>
      <c r="F24" s="12"/>
    </row>
    <row r="25" customFormat="false" ht="19.5" hidden="false" customHeight="true" outlineLevel="0" collapsed="false">
      <c r="A25" s="12" t="s">
        <v>31</v>
      </c>
      <c r="B25" s="12"/>
      <c r="C25" s="12"/>
      <c r="D25" s="12"/>
      <c r="E25" s="12"/>
      <c r="F25" s="12"/>
    </row>
    <row r="26" customFormat="false" ht="19.5" hidden="false" customHeight="true" outlineLevel="0" collapsed="false">
      <c r="A26" s="12" t="s">
        <v>32</v>
      </c>
      <c r="B26" s="12"/>
      <c r="C26" s="12"/>
      <c r="D26" s="12"/>
      <c r="E26" s="12"/>
      <c r="F26" s="12"/>
    </row>
    <row r="27" customFormat="false" ht="19.5" hidden="false" customHeight="true" outlineLevel="0" collapsed="false">
      <c r="A27" s="12" t="s">
        <v>33</v>
      </c>
      <c r="B27" s="12"/>
      <c r="C27" s="12"/>
      <c r="D27" s="12"/>
      <c r="E27" s="12"/>
      <c r="F27" s="12"/>
    </row>
    <row r="28" customFormat="false" ht="19.5" hidden="false" customHeight="true" outlineLevel="0" collapsed="false">
      <c r="A28" s="12" t="s">
        <v>34</v>
      </c>
      <c r="B28" s="12"/>
      <c r="C28" s="12"/>
      <c r="D28" s="12"/>
      <c r="E28" s="12"/>
      <c r="F28" s="12"/>
    </row>
    <row r="29" customFormat="false" ht="31.5" hidden="false" customHeight="true" outlineLevel="0" collapsed="false">
      <c r="A29" s="12" t="s">
        <v>35</v>
      </c>
      <c r="B29" s="12"/>
      <c r="C29" s="12"/>
      <c r="D29" s="12"/>
      <c r="E29" s="12"/>
      <c r="F29" s="12"/>
    </row>
  </sheetData>
  <mergeCells count="13">
    <mergeCell ref="A2:F2"/>
    <mergeCell ref="A3:F3"/>
    <mergeCell ref="A5:F5"/>
    <mergeCell ref="A7:C7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</mergeCells>
  <printOptions headings="false" gridLines="false" gridLinesSet="true" horizontalCentered="false" verticalCentered="false"/>
  <pageMargins left="0.4" right="0.4" top="0.65" bottom="0.5" header="0.279861111111111" footer="0.279861111111111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&amp;L&amp;"微软雅黑,标准"&amp;9 封面&amp;R&amp;"Calibri,标准"德阳市什邡市2个污染地块</oddHeader>
    <oddFooter>&amp;L&amp;"Calibri,标准"什邡2个污染地块施工成本测算 · 不引用投资估算单价&amp;R&amp;"Calibri,标准"第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K61"/>
  <sheetViews>
    <sheetView showFormulas="false" showGridLines="false" showRowColHeaders="true" showZeros="true" rightToLeft="false" tabSelected="false" showOutlineSymbols="true" defaultGridColor="true" view="pageBreakPreview" topLeftCell="A1" colorId="64" zoomScale="90" zoomScaleNormal="100" zoomScalePageLayoutView="9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12.74"/>
    <col collapsed="false" customWidth="true" hidden="false" outlineLevel="0" max="3" min="3" style="1" width="10.92"/>
    <col collapsed="false" customWidth="true" hidden="false" outlineLevel="0" max="4" min="4" style="1" width="25.47"/>
    <col collapsed="false" customWidth="true" hidden="false" outlineLevel="0" max="5" min="5" style="1" width="32.76"/>
    <col collapsed="false" customWidth="true" hidden="false" outlineLevel="0" max="6" min="6" style="1" width="9.1"/>
    <col collapsed="false" customWidth="true" hidden="false" outlineLevel="0" max="9" min="7" style="1" width="14.56"/>
    <col collapsed="false" customWidth="true" hidden="false" outlineLevel="0" max="10" min="10" style="1" width="16.38"/>
    <col collapsed="false" customWidth="true" hidden="false" outlineLevel="0" max="11" min="11" style="1" width="29.11"/>
  </cols>
  <sheetData>
    <row r="1" customFormat="false" ht="31.5" hidden="false" customHeight="true" outlineLevel="0" collapsed="false">
      <c r="A1" s="13" t="s">
        <v>36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19.5" hidden="false" customHeight="true" outlineLevel="0" collapsed="false">
      <c r="A2" s="14" t="s">
        <v>37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customFormat="false" ht="27.75" hidden="false" customHeight="true" outlineLevel="0" collapsed="false">
      <c r="A3" s="6" t="s">
        <v>38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43</v>
      </c>
      <c r="G3" s="6" t="s">
        <v>44</v>
      </c>
      <c r="H3" s="6" t="s">
        <v>45</v>
      </c>
      <c r="I3" s="6" t="s">
        <v>46</v>
      </c>
      <c r="J3" s="6" t="s">
        <v>47</v>
      </c>
      <c r="K3" s="6" t="s">
        <v>48</v>
      </c>
    </row>
    <row r="4" customFormat="false" ht="19.5" hidden="false" customHeight="true" outlineLevel="0" collapsed="false">
      <c r="A4" s="15" t="n">
        <v>1</v>
      </c>
      <c r="B4" s="15" t="s">
        <v>49</v>
      </c>
      <c r="C4" s="16" t="s">
        <v>50</v>
      </c>
      <c r="D4" s="7" t="s">
        <v>51</v>
      </c>
      <c r="E4" s="17" t="s">
        <v>52</v>
      </c>
      <c r="F4" s="15" t="s">
        <v>53</v>
      </c>
      <c r="G4" s="18" t="n">
        <v>1</v>
      </c>
      <c r="H4" s="8" t="n">
        <f aca="false">综合单价!P4</f>
        <v>10400</v>
      </c>
      <c r="I4" s="19" t="n">
        <f aca="false">G4*H4</f>
        <v>10400</v>
      </c>
      <c r="J4" s="20" t="s">
        <v>54</v>
      </c>
      <c r="K4" s="17" t="s">
        <v>55</v>
      </c>
    </row>
    <row r="5" customFormat="false" ht="19.5" hidden="false" customHeight="true" outlineLevel="0" collapsed="false">
      <c r="A5" s="21" t="n">
        <v>2</v>
      </c>
      <c r="B5" s="21" t="s">
        <v>49</v>
      </c>
      <c r="C5" s="22" t="s">
        <v>56</v>
      </c>
      <c r="D5" s="10" t="s">
        <v>57</v>
      </c>
      <c r="E5" s="23" t="s">
        <v>58</v>
      </c>
      <c r="F5" s="21" t="s">
        <v>59</v>
      </c>
      <c r="G5" s="8" t="n">
        <f aca="false">工程量计算!C16</f>
        <v>100</v>
      </c>
      <c r="H5" s="8" t="n">
        <f aca="false">综合单价!P7</f>
        <v>294.2946</v>
      </c>
      <c r="I5" s="24" t="n">
        <f aca="false">G5*H5</f>
        <v>29429.46</v>
      </c>
      <c r="J5" s="25" t="s">
        <v>60</v>
      </c>
      <c r="K5" s="23" t="s">
        <v>61</v>
      </c>
    </row>
    <row r="6" customFormat="false" ht="19.5" hidden="false" customHeight="true" outlineLevel="0" collapsed="false">
      <c r="A6" s="15" t="n">
        <v>3</v>
      </c>
      <c r="B6" s="15" t="s">
        <v>49</v>
      </c>
      <c r="C6" s="16" t="s">
        <v>62</v>
      </c>
      <c r="D6" s="7" t="s">
        <v>63</v>
      </c>
      <c r="E6" s="17" t="s">
        <v>64</v>
      </c>
      <c r="F6" s="15" t="s">
        <v>65</v>
      </c>
      <c r="G6" s="8" t="n">
        <f aca="false">工程量计算!C17</f>
        <v>2</v>
      </c>
      <c r="H6" s="8" t="n">
        <f aca="false">综合单价!P13</f>
        <v>15162.55</v>
      </c>
      <c r="I6" s="19" t="n">
        <f aca="false">G6*H6</f>
        <v>30325.1</v>
      </c>
      <c r="J6" s="20" t="s">
        <v>66</v>
      </c>
      <c r="K6" s="17" t="s">
        <v>67</v>
      </c>
    </row>
    <row r="7" customFormat="false" ht="19.5" hidden="false" customHeight="true" outlineLevel="0" collapsed="false">
      <c r="A7" s="21" t="n">
        <v>4</v>
      </c>
      <c r="B7" s="21" t="s">
        <v>49</v>
      </c>
      <c r="C7" s="22" t="s">
        <v>68</v>
      </c>
      <c r="D7" s="10" t="s">
        <v>69</v>
      </c>
      <c r="E7" s="23" t="s">
        <v>70</v>
      </c>
      <c r="F7" s="21" t="s">
        <v>59</v>
      </c>
      <c r="G7" s="8" t="n">
        <f aca="false">工程量计算!C18</f>
        <v>800</v>
      </c>
      <c r="H7" s="8" t="n">
        <f aca="false">综合单价!P20</f>
        <v>108.6418</v>
      </c>
      <c r="I7" s="24" t="n">
        <f aca="false">G7*H7</f>
        <v>86913.44</v>
      </c>
      <c r="J7" s="25" t="s">
        <v>71</v>
      </c>
      <c r="K7" s="23" t="s">
        <v>72</v>
      </c>
    </row>
    <row r="8" customFormat="false" ht="19.5" hidden="false" customHeight="true" outlineLevel="0" collapsed="false">
      <c r="A8" s="15" t="n">
        <v>5</v>
      </c>
      <c r="B8" s="15" t="s">
        <v>49</v>
      </c>
      <c r="C8" s="16" t="s">
        <v>73</v>
      </c>
      <c r="D8" s="7" t="s">
        <v>74</v>
      </c>
      <c r="E8" s="17" t="s">
        <v>75</v>
      </c>
      <c r="F8" s="15" t="s">
        <v>76</v>
      </c>
      <c r="G8" s="8" t="n">
        <f aca="false">工程量计算!C19</f>
        <v>5000</v>
      </c>
      <c r="H8" s="8" t="n">
        <f aca="false">综合单价!P25</f>
        <v>85.50995</v>
      </c>
      <c r="I8" s="19" t="n">
        <f aca="false">G8*H8</f>
        <v>427549.75</v>
      </c>
      <c r="J8" s="20" t="s">
        <v>77</v>
      </c>
      <c r="K8" s="17" t="s">
        <v>78</v>
      </c>
    </row>
    <row r="9" customFormat="false" ht="19.5" hidden="false" customHeight="true" outlineLevel="0" collapsed="false">
      <c r="A9" s="21" t="n">
        <v>6</v>
      </c>
      <c r="B9" s="21" t="s">
        <v>49</v>
      </c>
      <c r="C9" s="22" t="s">
        <v>79</v>
      </c>
      <c r="D9" s="10" t="s">
        <v>80</v>
      </c>
      <c r="E9" s="23" t="s">
        <v>81</v>
      </c>
      <c r="F9" s="21" t="s">
        <v>76</v>
      </c>
      <c r="G9" s="8" t="n">
        <f aca="false">工程量计算!C15</f>
        <v>500</v>
      </c>
      <c r="H9" s="8" t="n">
        <f aca="false">综合单价!P32</f>
        <v>473.6918</v>
      </c>
      <c r="I9" s="24" t="n">
        <f aca="false">G9*H9</f>
        <v>236845.9</v>
      </c>
      <c r="J9" s="25" t="s">
        <v>82</v>
      </c>
      <c r="K9" s="23" t="s">
        <v>83</v>
      </c>
    </row>
    <row r="10" customFormat="false" ht="19.5" hidden="false" customHeight="true" outlineLevel="0" collapsed="false">
      <c r="A10" s="15" t="n">
        <v>7</v>
      </c>
      <c r="B10" s="15" t="s">
        <v>49</v>
      </c>
      <c r="C10" s="16" t="s">
        <v>84</v>
      </c>
      <c r="D10" s="7" t="s">
        <v>85</v>
      </c>
      <c r="E10" s="17" t="s">
        <v>86</v>
      </c>
      <c r="F10" s="15" t="s">
        <v>76</v>
      </c>
      <c r="G10" s="8" t="n">
        <f aca="false">工程量计算!C20</f>
        <v>13000</v>
      </c>
      <c r="H10" s="8" t="n">
        <f aca="false">综合单价!P93</f>
        <v>3.825</v>
      </c>
      <c r="I10" s="19" t="n">
        <f aca="false">G10*H10</f>
        <v>49725</v>
      </c>
      <c r="J10" s="20" t="s">
        <v>87</v>
      </c>
      <c r="K10" s="17" t="s">
        <v>88</v>
      </c>
    </row>
    <row r="11" customFormat="false" ht="19.5" hidden="false" customHeight="true" outlineLevel="0" collapsed="false">
      <c r="A11" s="21" t="n">
        <v>8</v>
      </c>
      <c r="B11" s="21" t="s">
        <v>49</v>
      </c>
      <c r="C11" s="22" t="s">
        <v>89</v>
      </c>
      <c r="D11" s="10" t="s">
        <v>90</v>
      </c>
      <c r="E11" s="23" t="s">
        <v>91</v>
      </c>
      <c r="F11" s="21" t="s">
        <v>59</v>
      </c>
      <c r="G11" s="8" t="n">
        <f aca="false">工程量计算!C21</f>
        <v>800</v>
      </c>
      <c r="H11" s="8" t="n">
        <f aca="false">综合单价!P96</f>
        <v>85.1199</v>
      </c>
      <c r="I11" s="24" t="n">
        <f aca="false">G11*H11</f>
        <v>68095.92</v>
      </c>
      <c r="J11" s="25" t="s">
        <v>92</v>
      </c>
      <c r="K11" s="23" t="s">
        <v>93</v>
      </c>
    </row>
    <row r="12" customFormat="false" ht="19.5" hidden="false" customHeight="true" outlineLevel="0" collapsed="false">
      <c r="A12" s="15" t="n">
        <v>9</v>
      </c>
      <c r="B12" s="15" t="s">
        <v>49</v>
      </c>
      <c r="C12" s="16" t="s">
        <v>94</v>
      </c>
      <c r="D12" s="7" t="s">
        <v>95</v>
      </c>
      <c r="E12" s="17" t="s">
        <v>96</v>
      </c>
      <c r="F12" s="15" t="s">
        <v>65</v>
      </c>
      <c r="G12" s="8" t="n">
        <f aca="false">工程量计算!C22</f>
        <v>2</v>
      </c>
      <c r="H12" s="8" t="n">
        <f aca="false">综合单价!P102</f>
        <v>15486.8</v>
      </c>
      <c r="I12" s="19" t="n">
        <f aca="false">G12*H12</f>
        <v>30973.6</v>
      </c>
      <c r="J12" s="20" t="s">
        <v>97</v>
      </c>
      <c r="K12" s="17" t="s">
        <v>98</v>
      </c>
    </row>
    <row r="13" customFormat="false" ht="19.5" hidden="false" customHeight="true" outlineLevel="0" collapsed="false">
      <c r="A13" s="21" t="n">
        <v>10</v>
      </c>
      <c r="B13" s="21" t="s">
        <v>49</v>
      </c>
      <c r="C13" s="22" t="s">
        <v>99</v>
      </c>
      <c r="D13" s="10" t="s">
        <v>100</v>
      </c>
      <c r="E13" s="23" t="s">
        <v>101</v>
      </c>
      <c r="F13" s="21" t="s">
        <v>102</v>
      </c>
      <c r="G13" s="8" t="n">
        <f aca="false">工程量计算!C23</f>
        <v>20</v>
      </c>
      <c r="H13" s="8" t="n">
        <f aca="false">综合单价!P109</f>
        <v>242.25</v>
      </c>
      <c r="I13" s="24" t="n">
        <f aca="false">G13*H13</f>
        <v>4845</v>
      </c>
      <c r="J13" s="25" t="s">
        <v>103</v>
      </c>
      <c r="K13" s="23" t="s">
        <v>104</v>
      </c>
    </row>
    <row r="14" customFormat="false" ht="19.5" hidden="false" customHeight="true" outlineLevel="0" collapsed="false">
      <c r="A14" s="15" t="n">
        <v>11</v>
      </c>
      <c r="B14" s="15" t="s">
        <v>49</v>
      </c>
      <c r="C14" s="16" t="s">
        <v>105</v>
      </c>
      <c r="D14" s="7" t="s">
        <v>106</v>
      </c>
      <c r="E14" s="17" t="s">
        <v>107</v>
      </c>
      <c r="F14" s="15" t="s">
        <v>53</v>
      </c>
      <c r="G14" s="18" t="n">
        <v>1</v>
      </c>
      <c r="H14" s="8" t="n">
        <f aca="false">综合单价!P116</f>
        <v>11765.8</v>
      </c>
      <c r="I14" s="19" t="n">
        <f aca="false">G14*H14</f>
        <v>11765.8</v>
      </c>
      <c r="J14" s="20" t="s">
        <v>108</v>
      </c>
      <c r="K14" s="17" t="s">
        <v>109</v>
      </c>
    </row>
    <row r="15" customFormat="false" ht="19.5" hidden="false" customHeight="true" outlineLevel="0" collapsed="false">
      <c r="A15" s="21" t="n">
        <v>12</v>
      </c>
      <c r="B15" s="21" t="s">
        <v>110</v>
      </c>
      <c r="C15" s="22" t="s">
        <v>111</v>
      </c>
      <c r="D15" s="10" t="s">
        <v>112</v>
      </c>
      <c r="E15" s="23" t="s">
        <v>113</v>
      </c>
      <c r="F15" s="21" t="s">
        <v>114</v>
      </c>
      <c r="G15" s="8" t="n">
        <f aca="false">工程量计算!C4</f>
        <v>33728.15</v>
      </c>
      <c r="H15" s="8" t="n">
        <f aca="false">综合单价!P38</f>
        <v>24.53829</v>
      </c>
      <c r="I15" s="24" t="n">
        <f aca="false">G15*H15</f>
        <v>827631.1258635</v>
      </c>
      <c r="J15" s="25" t="s">
        <v>115</v>
      </c>
      <c r="K15" s="23" t="s">
        <v>116</v>
      </c>
    </row>
    <row r="16" customFormat="false" ht="19.5" hidden="false" customHeight="true" outlineLevel="0" collapsed="false">
      <c r="A16" s="15" t="n">
        <v>13</v>
      </c>
      <c r="B16" s="15" t="s">
        <v>110</v>
      </c>
      <c r="C16" s="16" t="s">
        <v>117</v>
      </c>
      <c r="D16" s="7" t="s">
        <v>118</v>
      </c>
      <c r="E16" s="17" t="s">
        <v>119</v>
      </c>
      <c r="F16" s="15" t="s">
        <v>114</v>
      </c>
      <c r="G16" s="8" t="n">
        <f aca="false">工程量计算!C4</f>
        <v>33728.15</v>
      </c>
      <c r="H16" s="8" t="n">
        <f aca="false">综合单价!P42</f>
        <v>21.9063</v>
      </c>
      <c r="I16" s="19" t="n">
        <f aca="false">G16*H16</f>
        <v>738858.972345</v>
      </c>
      <c r="J16" s="20" t="s">
        <v>120</v>
      </c>
      <c r="K16" s="17" t="s">
        <v>121</v>
      </c>
    </row>
    <row r="17" customFormat="false" ht="19.5" hidden="false" customHeight="true" outlineLevel="0" collapsed="false">
      <c r="A17" s="21" t="n">
        <v>14</v>
      </c>
      <c r="B17" s="21" t="s">
        <v>122</v>
      </c>
      <c r="C17" s="22" t="s">
        <v>123</v>
      </c>
      <c r="D17" s="10" t="s">
        <v>124</v>
      </c>
      <c r="E17" s="23" t="s">
        <v>125</v>
      </c>
      <c r="F17" s="21" t="s">
        <v>114</v>
      </c>
      <c r="G17" s="8" t="n">
        <f aca="false">工程量计算!C5</f>
        <v>16499.79</v>
      </c>
      <c r="H17" s="8" t="n">
        <f aca="false">综合单价!P47</f>
        <v>17.2428</v>
      </c>
      <c r="I17" s="24" t="n">
        <f aca="false">G17*H17</f>
        <v>284502.579012</v>
      </c>
      <c r="J17" s="25" t="s">
        <v>126</v>
      </c>
      <c r="K17" s="23" t="s">
        <v>127</v>
      </c>
    </row>
    <row r="18" customFormat="false" ht="19.5" hidden="false" customHeight="true" outlineLevel="0" collapsed="false">
      <c r="A18" s="15" t="n">
        <v>15</v>
      </c>
      <c r="B18" s="15" t="s">
        <v>122</v>
      </c>
      <c r="C18" s="16" t="s">
        <v>128</v>
      </c>
      <c r="D18" s="7" t="s">
        <v>129</v>
      </c>
      <c r="E18" s="17" t="s">
        <v>130</v>
      </c>
      <c r="F18" s="15" t="s">
        <v>114</v>
      </c>
      <c r="G18" s="8" t="n">
        <f aca="false">工程量计算!C7</f>
        <v>202.65</v>
      </c>
      <c r="H18" s="8" t="n">
        <f aca="false">综合单价!P67</f>
        <v>2800</v>
      </c>
      <c r="I18" s="19" t="n">
        <f aca="false">G18*H18</f>
        <v>567420</v>
      </c>
      <c r="J18" s="20" t="s">
        <v>131</v>
      </c>
      <c r="K18" s="17" t="s">
        <v>132</v>
      </c>
    </row>
    <row r="19" customFormat="false" ht="19.5" hidden="false" customHeight="true" outlineLevel="0" collapsed="false">
      <c r="A19" s="21" t="n">
        <v>16</v>
      </c>
      <c r="B19" s="21" t="s">
        <v>122</v>
      </c>
      <c r="C19" s="22" t="s">
        <v>133</v>
      </c>
      <c r="D19" s="10" t="s">
        <v>134</v>
      </c>
      <c r="E19" s="23" t="s">
        <v>135</v>
      </c>
      <c r="F19" s="21" t="s">
        <v>136</v>
      </c>
      <c r="G19" s="8" t="n">
        <f aca="false">工程量计算!C38</f>
        <v>27241.136</v>
      </c>
      <c r="H19" s="8" t="n">
        <f aca="false">综合单价!P62</f>
        <v>190</v>
      </c>
      <c r="I19" s="24" t="n">
        <f aca="false">G19*H19</f>
        <v>5175815.84</v>
      </c>
      <c r="J19" s="25" t="s">
        <v>137</v>
      </c>
      <c r="K19" s="23" t="s">
        <v>138</v>
      </c>
    </row>
    <row r="20" customFormat="false" ht="19.5" hidden="false" customHeight="true" outlineLevel="0" collapsed="false">
      <c r="A20" s="15" t="n">
        <v>17</v>
      </c>
      <c r="B20" s="15" t="s">
        <v>139</v>
      </c>
      <c r="C20" s="16" t="s">
        <v>140</v>
      </c>
      <c r="D20" s="7" t="s">
        <v>141</v>
      </c>
      <c r="E20" s="17" t="s">
        <v>142</v>
      </c>
      <c r="F20" s="15" t="s">
        <v>136</v>
      </c>
      <c r="G20" s="8" t="n">
        <f aca="false">工程量计算!C38</f>
        <v>27241.136</v>
      </c>
      <c r="H20" s="8" t="n">
        <f aca="false">综合单价!P64</f>
        <v>44</v>
      </c>
      <c r="I20" s="19" t="n">
        <f aca="false">G20*H20</f>
        <v>1198609.984</v>
      </c>
      <c r="J20" s="20" t="s">
        <v>143</v>
      </c>
      <c r="K20" s="17" t="s">
        <v>138</v>
      </c>
    </row>
    <row r="21" customFormat="false" ht="19.5" hidden="false" customHeight="true" outlineLevel="0" collapsed="false">
      <c r="A21" s="21" t="n">
        <v>18</v>
      </c>
      <c r="B21" s="21" t="s">
        <v>139</v>
      </c>
      <c r="C21" s="22" t="s">
        <v>144</v>
      </c>
      <c r="D21" s="10" t="s">
        <v>145</v>
      </c>
      <c r="E21" s="23" t="s">
        <v>146</v>
      </c>
      <c r="F21" s="21" t="s">
        <v>136</v>
      </c>
      <c r="G21" s="8" t="n">
        <f aca="false">工程量计算!C39</f>
        <v>324.24</v>
      </c>
      <c r="H21" s="8" t="n">
        <f aca="false">综合单价!P69</f>
        <v>76</v>
      </c>
      <c r="I21" s="24" t="n">
        <f aca="false">G21*H21</f>
        <v>24642.24</v>
      </c>
      <c r="J21" s="25" t="s">
        <v>147</v>
      </c>
      <c r="K21" s="23" t="s">
        <v>148</v>
      </c>
    </row>
    <row r="22" customFormat="false" ht="19.5" hidden="false" customHeight="true" outlineLevel="0" collapsed="false">
      <c r="A22" s="15" t="n">
        <v>19</v>
      </c>
      <c r="B22" s="15" t="s">
        <v>149</v>
      </c>
      <c r="C22" s="16" t="s">
        <v>150</v>
      </c>
      <c r="D22" s="7" t="s">
        <v>151</v>
      </c>
      <c r="E22" s="17" t="s">
        <v>152</v>
      </c>
      <c r="F22" s="15" t="s">
        <v>114</v>
      </c>
      <c r="G22" s="8" t="n">
        <f aca="false">工程量计算!C5</f>
        <v>16499.79</v>
      </c>
      <c r="H22" s="8" t="n">
        <f aca="false">综合单价!P72</f>
        <v>13.1302</v>
      </c>
      <c r="I22" s="19" t="n">
        <f aca="false">G22*H22</f>
        <v>216645.542658</v>
      </c>
      <c r="J22" s="20" t="s">
        <v>153</v>
      </c>
      <c r="K22" s="17" t="s">
        <v>127</v>
      </c>
    </row>
    <row r="23" customFormat="false" ht="19.5" hidden="false" customHeight="true" outlineLevel="0" collapsed="false">
      <c r="A23" s="21" t="n">
        <v>20</v>
      </c>
      <c r="B23" s="21" t="s">
        <v>149</v>
      </c>
      <c r="C23" s="22" t="s">
        <v>154</v>
      </c>
      <c r="D23" s="10" t="s">
        <v>155</v>
      </c>
      <c r="E23" s="23" t="s">
        <v>156</v>
      </c>
      <c r="F23" s="21" t="s">
        <v>114</v>
      </c>
      <c r="G23" s="8" t="n">
        <f aca="false">工程量计算!C44</f>
        <v>17228.36</v>
      </c>
      <c r="H23" s="8" t="n">
        <f aca="false">综合单价!P77</f>
        <v>80</v>
      </c>
      <c r="I23" s="24" t="n">
        <f aca="false">G23*H23</f>
        <v>1378268.8</v>
      </c>
      <c r="J23" s="25" t="s">
        <v>157</v>
      </c>
      <c r="K23" s="23" t="s">
        <v>158</v>
      </c>
    </row>
    <row r="24" customFormat="false" ht="19.5" hidden="false" customHeight="true" outlineLevel="0" collapsed="false">
      <c r="A24" s="15" t="n">
        <v>21</v>
      </c>
      <c r="B24" s="15" t="s">
        <v>149</v>
      </c>
      <c r="C24" s="16" t="s">
        <v>159</v>
      </c>
      <c r="D24" s="7" t="s">
        <v>160</v>
      </c>
      <c r="E24" s="17" t="s">
        <v>161</v>
      </c>
      <c r="F24" s="15" t="s">
        <v>114</v>
      </c>
      <c r="G24" s="8" t="n">
        <f aca="false">工程量计算!C44</f>
        <v>17228.36</v>
      </c>
      <c r="H24" s="8" t="n">
        <f aca="false">综合单价!P79</f>
        <v>11.39355</v>
      </c>
      <c r="I24" s="19" t="n">
        <f aca="false">G24*H24</f>
        <v>196292.181078</v>
      </c>
      <c r="J24" s="20" t="s">
        <v>162</v>
      </c>
      <c r="K24" s="17" t="s">
        <v>158</v>
      </c>
    </row>
    <row r="25" customFormat="false" ht="19.5" hidden="false" customHeight="true" outlineLevel="0" collapsed="false">
      <c r="A25" s="21" t="n">
        <v>22</v>
      </c>
      <c r="B25" s="21" t="s">
        <v>163</v>
      </c>
      <c r="C25" s="22" t="s">
        <v>164</v>
      </c>
      <c r="D25" s="10" t="s">
        <v>165</v>
      </c>
      <c r="E25" s="23" t="s">
        <v>166</v>
      </c>
      <c r="F25" s="21" t="s">
        <v>114</v>
      </c>
      <c r="G25" s="8" t="n">
        <f aca="false">工程量计算!C43</f>
        <v>2474.9685</v>
      </c>
      <c r="H25" s="8" t="n">
        <f aca="false">综合单价!P52</f>
        <v>4.787</v>
      </c>
      <c r="I25" s="24" t="n">
        <f aca="false">G25*H25</f>
        <v>11847.6742095</v>
      </c>
      <c r="J25" s="25" t="s">
        <v>167</v>
      </c>
      <c r="K25" s="23" t="s">
        <v>168</v>
      </c>
    </row>
    <row r="26" customFormat="false" ht="19.5" hidden="false" customHeight="true" outlineLevel="0" collapsed="false">
      <c r="A26" s="15" t="n">
        <v>23</v>
      </c>
      <c r="B26" s="15" t="s">
        <v>163</v>
      </c>
      <c r="C26" s="16" t="s">
        <v>169</v>
      </c>
      <c r="D26" s="7" t="s">
        <v>170</v>
      </c>
      <c r="E26" s="17" t="s">
        <v>171</v>
      </c>
      <c r="F26" s="15" t="s">
        <v>114</v>
      </c>
      <c r="G26" s="8" t="n">
        <f aca="false">工程量计算!C43</f>
        <v>2474.9685</v>
      </c>
      <c r="H26" s="8" t="n">
        <f aca="false">综合单价!P57</f>
        <v>46.966</v>
      </c>
      <c r="I26" s="19" t="n">
        <f aca="false">G26*H26</f>
        <v>116239.370571</v>
      </c>
      <c r="J26" s="20" t="s">
        <v>172</v>
      </c>
      <c r="K26" s="17" t="s">
        <v>168</v>
      </c>
    </row>
    <row r="27" customFormat="false" ht="19.5" hidden="false" customHeight="true" outlineLevel="0" collapsed="false">
      <c r="A27" s="21" t="n">
        <v>24</v>
      </c>
      <c r="B27" s="21" t="s">
        <v>163</v>
      </c>
      <c r="C27" s="22" t="s">
        <v>173</v>
      </c>
      <c r="D27" s="10" t="s">
        <v>174</v>
      </c>
      <c r="E27" s="23" t="s">
        <v>175</v>
      </c>
      <c r="F27" s="21" t="s">
        <v>114</v>
      </c>
      <c r="G27" s="8" t="n">
        <f aca="false">工程量计算!C43</f>
        <v>2474.9685</v>
      </c>
      <c r="H27" s="8" t="n">
        <f aca="false">综合单价!P60</f>
        <v>75</v>
      </c>
      <c r="I27" s="24" t="n">
        <f aca="false">G27*H27</f>
        <v>185622.6375</v>
      </c>
      <c r="J27" s="25" t="s">
        <v>176</v>
      </c>
      <c r="K27" s="23" t="s">
        <v>168</v>
      </c>
    </row>
    <row r="28" customFormat="false" ht="19.5" hidden="false" customHeight="true" outlineLevel="0" collapsed="false">
      <c r="A28" s="15" t="n">
        <v>25</v>
      </c>
      <c r="B28" s="15" t="s">
        <v>177</v>
      </c>
      <c r="C28" s="16" t="s">
        <v>178</v>
      </c>
      <c r="D28" s="7" t="s">
        <v>179</v>
      </c>
      <c r="E28" s="17" t="s">
        <v>180</v>
      </c>
      <c r="F28" s="15" t="s">
        <v>53</v>
      </c>
      <c r="G28" s="18" t="n">
        <v>1</v>
      </c>
      <c r="H28" s="8" t="n">
        <f aca="false">综合单价!P113</f>
        <v>100740</v>
      </c>
      <c r="I28" s="19" t="n">
        <f aca="false">G28*H28</f>
        <v>100740</v>
      </c>
      <c r="J28" s="20" t="s">
        <v>181</v>
      </c>
      <c r="K28" s="17" t="s">
        <v>109</v>
      </c>
    </row>
    <row r="29" customFormat="false" ht="19.5" hidden="false" customHeight="true" outlineLevel="0" collapsed="false">
      <c r="A29" s="21" t="n">
        <v>26</v>
      </c>
      <c r="B29" s="21" t="s">
        <v>182</v>
      </c>
      <c r="C29" s="22" t="s">
        <v>183</v>
      </c>
      <c r="D29" s="10" t="s">
        <v>184</v>
      </c>
      <c r="E29" s="23" t="s">
        <v>185</v>
      </c>
      <c r="F29" s="21" t="s">
        <v>186</v>
      </c>
      <c r="G29" s="8" t="n">
        <f aca="false">工程量计算!C24</f>
        <v>10</v>
      </c>
      <c r="H29" s="8" t="n">
        <f aca="false">综合单价!P84</f>
        <v>6969.04</v>
      </c>
      <c r="I29" s="24" t="n">
        <f aca="false">G29*H29</f>
        <v>69690.4</v>
      </c>
      <c r="J29" s="25" t="s">
        <v>187</v>
      </c>
      <c r="K29" s="23" t="s">
        <v>188</v>
      </c>
    </row>
    <row r="30" customFormat="false" ht="19.5" hidden="false" customHeight="true" outlineLevel="0" collapsed="false">
      <c r="A30" s="15" t="n">
        <v>27</v>
      </c>
      <c r="B30" s="15" t="s">
        <v>182</v>
      </c>
      <c r="C30" s="16" t="s">
        <v>189</v>
      </c>
      <c r="D30" s="7" t="s">
        <v>190</v>
      </c>
      <c r="E30" s="17" t="s">
        <v>191</v>
      </c>
      <c r="F30" s="15" t="s">
        <v>192</v>
      </c>
      <c r="G30" s="8" t="n">
        <f aca="false">工程量计算!C30</f>
        <v>40</v>
      </c>
      <c r="H30" s="8" t="n">
        <f aca="false">综合单价!P91</f>
        <v>1200</v>
      </c>
      <c r="I30" s="19" t="n">
        <f aca="false">G30*H30</f>
        <v>48000</v>
      </c>
      <c r="J30" s="20" t="s">
        <v>193</v>
      </c>
      <c r="K30" s="17" t="s">
        <v>194</v>
      </c>
    </row>
    <row r="31" customFormat="false" ht="19.5" hidden="false" customHeight="true" outlineLevel="0" collapsed="false">
      <c r="A31" s="21" t="n">
        <v>28</v>
      </c>
      <c r="B31" s="21" t="s">
        <v>182</v>
      </c>
      <c r="C31" s="22" t="s">
        <v>195</v>
      </c>
      <c r="D31" s="10" t="s">
        <v>196</v>
      </c>
      <c r="E31" s="23" t="s">
        <v>197</v>
      </c>
      <c r="F31" s="21" t="s">
        <v>198</v>
      </c>
      <c r="G31" s="8" t="n">
        <f aca="false">工程量计算!C26</f>
        <v>54</v>
      </c>
      <c r="H31" s="8" t="n">
        <f aca="false">综合单价!P120</f>
        <v>750</v>
      </c>
      <c r="I31" s="24" t="n">
        <f aca="false">G31*H31</f>
        <v>40500</v>
      </c>
      <c r="J31" s="25" t="s">
        <v>199</v>
      </c>
      <c r="K31" s="23" t="s">
        <v>200</v>
      </c>
    </row>
    <row r="32" customFormat="false" ht="19.5" hidden="false" customHeight="true" outlineLevel="0" collapsed="false">
      <c r="A32" s="15" t="n">
        <v>29</v>
      </c>
      <c r="B32" s="15" t="s">
        <v>182</v>
      </c>
      <c r="C32" s="16" t="s">
        <v>201</v>
      </c>
      <c r="D32" s="7" t="s">
        <v>202</v>
      </c>
      <c r="E32" s="17" t="s">
        <v>197</v>
      </c>
      <c r="F32" s="15" t="s">
        <v>198</v>
      </c>
      <c r="G32" s="8" t="n">
        <f aca="false">工程量计算!C27</f>
        <v>36</v>
      </c>
      <c r="H32" s="8" t="n">
        <f aca="false">综合单价!P122</f>
        <v>200</v>
      </c>
      <c r="I32" s="19" t="n">
        <f aca="false">G32*H32</f>
        <v>7200</v>
      </c>
      <c r="J32" s="20" t="s">
        <v>203</v>
      </c>
      <c r="K32" s="17" t="s">
        <v>204</v>
      </c>
    </row>
    <row r="33" customFormat="false" ht="19.5" hidden="false" customHeight="true" outlineLevel="0" collapsed="false">
      <c r="A33" s="21" t="n">
        <v>30</v>
      </c>
      <c r="B33" s="21" t="s">
        <v>182</v>
      </c>
      <c r="C33" s="22" t="s">
        <v>205</v>
      </c>
      <c r="D33" s="10" t="s">
        <v>206</v>
      </c>
      <c r="E33" s="23" t="s">
        <v>207</v>
      </c>
      <c r="F33" s="21" t="s">
        <v>102</v>
      </c>
      <c r="G33" s="8" t="n">
        <f aca="false">工程量计算!C28</f>
        <v>154</v>
      </c>
      <c r="H33" s="8" t="n">
        <f aca="false">综合单价!P124</f>
        <v>150</v>
      </c>
      <c r="I33" s="24" t="n">
        <f aca="false">G33*H33</f>
        <v>23100</v>
      </c>
      <c r="J33" s="25" t="s">
        <v>208</v>
      </c>
      <c r="K33" s="23" t="s">
        <v>209</v>
      </c>
    </row>
    <row r="34" customFormat="false" ht="19.5" hidden="false" customHeight="true" outlineLevel="0" collapsed="false">
      <c r="A34" s="15" t="n">
        <v>31</v>
      </c>
      <c r="B34" s="15" t="s">
        <v>182</v>
      </c>
      <c r="C34" s="16" t="s">
        <v>210</v>
      </c>
      <c r="D34" s="7" t="s">
        <v>211</v>
      </c>
      <c r="E34" s="17" t="s">
        <v>207</v>
      </c>
      <c r="F34" s="15" t="s">
        <v>102</v>
      </c>
      <c r="G34" s="8" t="n">
        <f aca="false">工程量计算!C29</f>
        <v>38</v>
      </c>
      <c r="H34" s="8" t="n">
        <f aca="false">综合单价!P126</f>
        <v>150</v>
      </c>
      <c r="I34" s="19" t="n">
        <f aca="false">G34*H34</f>
        <v>5700</v>
      </c>
      <c r="J34" s="20" t="s">
        <v>212</v>
      </c>
      <c r="K34" s="17" t="s">
        <v>213</v>
      </c>
    </row>
    <row r="35" customFormat="false" ht="19.5" hidden="false" customHeight="true" outlineLevel="0" collapsed="false">
      <c r="A35" s="15" t="n">
        <v>32</v>
      </c>
      <c r="B35" s="15" t="s">
        <v>49</v>
      </c>
      <c r="C35" s="16" t="s">
        <v>214</v>
      </c>
      <c r="D35" s="7" t="s">
        <v>215</v>
      </c>
      <c r="E35" s="17" t="s">
        <v>216</v>
      </c>
      <c r="F35" s="15" t="s">
        <v>217</v>
      </c>
      <c r="G35" s="8" t="n">
        <f aca="false">工程量计算!C35</f>
        <v>2</v>
      </c>
      <c r="H35" s="8" t="n">
        <f aca="false">综合单价!P128</f>
        <v>39082.95</v>
      </c>
      <c r="I35" s="19" t="n">
        <f aca="false">G35*H35</f>
        <v>78165.9</v>
      </c>
      <c r="J35" s="15" t="s">
        <v>218</v>
      </c>
      <c r="K35" s="17" t="s">
        <v>219</v>
      </c>
    </row>
    <row r="36" customFormat="false" ht="19.5" hidden="false" customHeight="true" outlineLevel="0" collapsed="false">
      <c r="A36" s="21" t="n">
        <v>33</v>
      </c>
      <c r="B36" s="21" t="s">
        <v>182</v>
      </c>
      <c r="C36" s="22" t="s">
        <v>220</v>
      </c>
      <c r="D36" s="10" t="s">
        <v>221</v>
      </c>
      <c r="E36" s="23" t="s">
        <v>222</v>
      </c>
      <c r="F36" s="21" t="s">
        <v>102</v>
      </c>
      <c r="G36" s="8" t="n">
        <f aca="false">工程量计算!C33</f>
        <v>40</v>
      </c>
      <c r="H36" s="8" t="n">
        <f aca="false">综合单价!P134</f>
        <v>150</v>
      </c>
      <c r="I36" s="24" t="n">
        <f aca="false">G36*H36</f>
        <v>6000</v>
      </c>
      <c r="J36" s="21" t="s">
        <v>223</v>
      </c>
      <c r="K36" s="23" t="s">
        <v>224</v>
      </c>
    </row>
    <row r="37" customFormat="false" ht="19.5" hidden="false" customHeight="true" outlineLevel="0" collapsed="false">
      <c r="A37" s="21" t="n">
        <v>34</v>
      </c>
      <c r="B37" s="21" t="s">
        <v>182</v>
      </c>
      <c r="C37" s="22" t="s">
        <v>225</v>
      </c>
      <c r="D37" s="10" t="s">
        <v>226</v>
      </c>
      <c r="E37" s="23" t="s">
        <v>227</v>
      </c>
      <c r="F37" s="21" t="s">
        <v>102</v>
      </c>
      <c r="G37" s="8" t="n">
        <f aca="false">工程量计算!C34</f>
        <v>20</v>
      </c>
      <c r="H37" s="8" t="n">
        <f aca="false">综合单价!P136</f>
        <v>150</v>
      </c>
      <c r="I37" s="24" t="n">
        <f aca="false">G37*H37</f>
        <v>3000</v>
      </c>
      <c r="J37" s="21" t="s">
        <v>228</v>
      </c>
      <c r="K37" s="23" t="s">
        <v>229</v>
      </c>
    </row>
    <row r="38" customFormat="false" ht="15" hidden="false" customHeight="true" outlineLevel="0" collapsed="false">
      <c r="A38" s="26"/>
      <c r="B38" s="26"/>
      <c r="C38" s="26"/>
      <c r="D38" s="27" t="s">
        <v>230</v>
      </c>
      <c r="E38" s="26"/>
      <c r="F38" s="26"/>
      <c r="G38" s="26"/>
      <c r="H38" s="26"/>
      <c r="I38" s="28" t="n">
        <f aca="false">SUM(I4:I37)</f>
        <v>12291362.217237</v>
      </c>
      <c r="J38" s="26"/>
      <c r="K38" s="26"/>
    </row>
    <row r="39" customFormat="false" ht="15" hidden="false" customHeight="true" outlineLevel="0" collapsed="false"/>
    <row r="40" customFormat="false" ht="24.75" hidden="false" customHeight="true" outlineLevel="0" collapsed="false">
      <c r="A40" s="29" t="s">
        <v>231</v>
      </c>
      <c r="B40" s="30"/>
      <c r="C40" s="30"/>
      <c r="D40" s="30"/>
      <c r="E40" s="30"/>
      <c r="F40" s="30"/>
      <c r="G40" s="30"/>
      <c r="H40" s="30"/>
      <c r="I40" s="30"/>
      <c r="J40" s="30"/>
      <c r="K40" s="31"/>
    </row>
    <row r="41" customFormat="false" ht="15" hidden="false" customHeight="true" outlineLevel="0" collapsed="false">
      <c r="A41" s="6" t="s">
        <v>39</v>
      </c>
      <c r="B41" s="6" t="s">
        <v>46</v>
      </c>
      <c r="C41" s="6" t="s">
        <v>232</v>
      </c>
    </row>
    <row r="42" customFormat="false" ht="15" hidden="false" customHeight="true" outlineLevel="0" collapsed="false">
      <c r="A42" s="7" t="s">
        <v>49</v>
      </c>
      <c r="B42" s="32" t="n">
        <f aca="false">SUMIF($B$4:$B$37,A42,$I$4:$I$37)</f>
        <v>1065034.87</v>
      </c>
      <c r="C42" s="33" t="n">
        <f aca="false">IF($I$38=0,0,B42/$I$38)</f>
        <v>0.0866490508681316</v>
      </c>
    </row>
    <row r="43" customFormat="false" ht="15" hidden="false" customHeight="true" outlineLevel="0" collapsed="false">
      <c r="A43" s="10" t="s">
        <v>110</v>
      </c>
      <c r="B43" s="32" t="n">
        <f aca="false">SUMIF($B$4:$B$37,A43,$I$4:$I$37)</f>
        <v>1566490.0982085</v>
      </c>
      <c r="C43" s="33" t="n">
        <f aca="false">IF($I$38=0,0,B43/$I$38)</f>
        <v>0.127446418917808</v>
      </c>
    </row>
    <row r="44" customFormat="false" ht="15" hidden="false" customHeight="true" outlineLevel="0" collapsed="false">
      <c r="A44" s="7" t="s">
        <v>122</v>
      </c>
      <c r="B44" s="32" t="n">
        <f aca="false">SUMIF($B$4:$B$37,A44,$I$4:$I$37)</f>
        <v>6027738.419012</v>
      </c>
      <c r="C44" s="33" t="n">
        <f aca="false">IF($I$38=0,0,B44/$I$38)</f>
        <v>0.490404424869922</v>
      </c>
    </row>
    <row r="45" customFormat="false" ht="15" hidden="false" customHeight="true" outlineLevel="0" collapsed="false">
      <c r="A45" s="10" t="s">
        <v>139</v>
      </c>
      <c r="B45" s="32" t="n">
        <f aca="false">SUMIF($B$4:$B$37,A45,$I$4:$I$37)</f>
        <v>1223252.224</v>
      </c>
      <c r="C45" s="33" t="n">
        <f aca="false">IF($I$38=0,0,B45/$I$38)</f>
        <v>0.0995212900230498</v>
      </c>
    </row>
    <row r="46" customFormat="false" ht="15" hidden="false" customHeight="true" outlineLevel="0" collapsed="false">
      <c r="A46" s="7" t="s">
        <v>149</v>
      </c>
      <c r="B46" s="32" t="n">
        <f aca="false">SUMIF($B$4:$B$37,A46,$I$4:$I$37)</f>
        <v>1791206.523736</v>
      </c>
      <c r="C46" s="33" t="n">
        <f aca="false">IF($I$38=0,0,B46/$I$38)</f>
        <v>0.145728886032182</v>
      </c>
    </row>
    <row r="47" customFormat="false" ht="15" hidden="false" customHeight="true" outlineLevel="0" collapsed="false">
      <c r="A47" s="10" t="s">
        <v>163</v>
      </c>
      <c r="B47" s="32" t="n">
        <f aca="false">SUMIF($B$4:$B$37,A47,$I$4:$I$37)</f>
        <v>313709.6822805</v>
      </c>
      <c r="C47" s="33" t="n">
        <f aca="false">IF($I$38=0,0,B47/$I$38)</f>
        <v>0.0255227758108506</v>
      </c>
    </row>
    <row r="48" customFormat="false" ht="15" hidden="false" customHeight="true" outlineLevel="0" collapsed="false">
      <c r="A48" s="7" t="s">
        <v>177</v>
      </c>
      <c r="B48" s="32" t="n">
        <f aca="false">SUMIF($B$4:$B$37,A48,$I$4:$I$37)</f>
        <v>100740</v>
      </c>
      <c r="C48" s="33" t="n">
        <f aca="false">IF($I$38=0,0,B48/$I$38)</f>
        <v>0.00819599961497559</v>
      </c>
    </row>
    <row r="49" customFormat="false" ht="19.5" hidden="false" customHeight="true" outlineLevel="0" collapsed="false">
      <c r="A49" s="7" t="s">
        <v>182</v>
      </c>
      <c r="B49" s="32" t="n">
        <f aca="false">SUMIF($B$4:$B$37,A49,$I$4:$I$37)</f>
        <v>203190.4</v>
      </c>
      <c r="C49" s="33" t="n">
        <f aca="false">IF($I$38=0,0,B49/$I$38)</f>
        <v>0.0165311538630806</v>
      </c>
    </row>
    <row r="50" customFormat="false" ht="24.75" hidden="false" customHeight="true" outlineLevel="0" collapsed="false">
      <c r="A50" s="34" t="s">
        <v>233</v>
      </c>
      <c r="B50" s="35" t="n">
        <f aca="false">SUM(B42:B49)</f>
        <v>12291362.217237</v>
      </c>
      <c r="C50" s="36" t="n">
        <f aca="false">SUM(C42:C49)</f>
        <v>1</v>
      </c>
    </row>
    <row r="51" customFormat="false" ht="19.5" hidden="false" customHeight="true" outlineLevel="0" collapsed="false"/>
    <row r="52" customFormat="false" ht="19.5" hidden="false" customHeight="true" outlineLevel="0" collapsed="false">
      <c r="A52" s="29" t="s">
        <v>234</v>
      </c>
      <c r="B52" s="30"/>
      <c r="C52" s="30"/>
      <c r="D52" s="30"/>
      <c r="E52" s="30"/>
      <c r="F52" s="30"/>
      <c r="G52" s="30"/>
      <c r="H52" s="30"/>
      <c r="I52" s="30"/>
      <c r="J52" s="30"/>
      <c r="K52" s="31"/>
    </row>
    <row r="53" customFormat="false" ht="27.75" hidden="false" customHeight="true" outlineLevel="0" collapsed="false">
      <c r="A53" s="6" t="s">
        <v>38</v>
      </c>
      <c r="B53" s="6" t="s">
        <v>235</v>
      </c>
      <c r="C53" s="6" t="s">
        <v>236</v>
      </c>
      <c r="D53" s="6" t="s">
        <v>237</v>
      </c>
      <c r="E53" s="6" t="s">
        <v>238</v>
      </c>
      <c r="F53" s="6" t="s">
        <v>239</v>
      </c>
      <c r="G53" s="6" t="s">
        <v>240</v>
      </c>
    </row>
    <row r="54" customFormat="false" ht="19.5" hidden="false" customHeight="true" outlineLevel="0" collapsed="false">
      <c r="A54" s="37" t="s">
        <v>241</v>
      </c>
      <c r="B54" s="38" t="s">
        <v>242</v>
      </c>
      <c r="C54" s="39" t="s">
        <v>243</v>
      </c>
      <c r="D54" s="37" t="s">
        <v>244</v>
      </c>
      <c r="E54" s="8" t="n">
        <f aca="false">I38</f>
        <v>12291362.217237</v>
      </c>
      <c r="F54" s="40" t="n">
        <f aca="false">E54/10000</f>
        <v>1229.1362217237</v>
      </c>
      <c r="G54" s="9" t="s">
        <v>12</v>
      </c>
    </row>
    <row r="55" customFormat="false" ht="19.5" hidden="false" customHeight="true" outlineLevel="0" collapsed="false">
      <c r="A55" s="37" t="s">
        <v>245</v>
      </c>
      <c r="B55" s="38" t="s">
        <v>246</v>
      </c>
      <c r="C55" s="39" t="s">
        <v>247</v>
      </c>
      <c r="D55" s="41" t="n">
        <v>0.05</v>
      </c>
      <c r="E55" s="40" t="n">
        <f aca="false">E54*D55</f>
        <v>614568.11086185</v>
      </c>
      <c r="F55" s="40" t="n">
        <f aca="false">E55/10000</f>
        <v>61.456811086185</v>
      </c>
      <c r="G55" s="9" t="s">
        <v>248</v>
      </c>
    </row>
    <row r="56" customFormat="false" ht="19.5" hidden="false" customHeight="true" outlineLevel="0" collapsed="false">
      <c r="A56" s="37" t="s">
        <v>249</v>
      </c>
      <c r="B56" s="38" t="s">
        <v>250</v>
      </c>
      <c r="C56" s="39" t="s">
        <v>247</v>
      </c>
      <c r="D56" s="41" t="n">
        <v>0</v>
      </c>
      <c r="E56" s="40" t="n">
        <f aca="false">E54*D56</f>
        <v>0</v>
      </c>
      <c r="F56" s="40" t="n">
        <f aca="false">E56/10000</f>
        <v>0</v>
      </c>
      <c r="G56" s="9" t="s">
        <v>251</v>
      </c>
    </row>
    <row r="57" customFormat="false" ht="23.25" hidden="false" customHeight="true" outlineLevel="0" collapsed="false">
      <c r="A57" s="37" t="s">
        <v>252</v>
      </c>
      <c r="B57" s="38" t="s">
        <v>253</v>
      </c>
      <c r="C57" s="39" t="s">
        <v>254</v>
      </c>
      <c r="D57" s="37" t="s">
        <v>244</v>
      </c>
      <c r="E57" s="40" t="n">
        <f aca="false">E54+E55+E56</f>
        <v>12905930.3280988</v>
      </c>
      <c r="F57" s="40" t="n">
        <f aca="false">E57/10000</f>
        <v>1290.59303280988</v>
      </c>
      <c r="G57" s="9" t="s">
        <v>255</v>
      </c>
    </row>
    <row r="58" customFormat="false" ht="21.75" hidden="false" customHeight="true" outlineLevel="0" collapsed="false">
      <c r="A58" s="15" t="s">
        <v>256</v>
      </c>
      <c r="B58" s="7" t="s">
        <v>257</v>
      </c>
      <c r="C58" s="17" t="s">
        <v>258</v>
      </c>
      <c r="D58" s="41" t="s">
        <v>259</v>
      </c>
      <c r="E58" s="19" t="n">
        <f aca="false">E57*D58</f>
        <v>387177.909842965</v>
      </c>
      <c r="F58" s="19" t="n">
        <f aca="false">E58/10000</f>
        <v>38.7177909842965</v>
      </c>
      <c r="G58" s="17" t="s">
        <v>260</v>
      </c>
    </row>
    <row r="59" customFormat="false" ht="39" hidden="false" customHeight="true" outlineLevel="0" collapsed="false">
      <c r="A59" s="42" t="s">
        <v>261</v>
      </c>
      <c r="B59" s="27" t="s">
        <v>262</v>
      </c>
      <c r="C59" s="42" t="s">
        <v>263</v>
      </c>
      <c r="D59" s="42" t="s">
        <v>244</v>
      </c>
      <c r="E59" s="28" t="n">
        <f aca="false">E57+E58</f>
        <v>13293108.2379418</v>
      </c>
      <c r="F59" s="28" t="n">
        <f aca="false">E59/10000</f>
        <v>1329.31082379418</v>
      </c>
      <c r="G59" s="27" t="s">
        <v>264</v>
      </c>
    </row>
    <row r="61" customFormat="false" ht="213.75" hidden="false" customHeight="true" outlineLevel="0" collapsed="false">
      <c r="A61" s="43" t="s">
        <v>265</v>
      </c>
      <c r="B61" s="30"/>
      <c r="C61" s="30"/>
      <c r="D61" s="30"/>
      <c r="E61" s="30"/>
      <c r="F61" s="30"/>
      <c r="G61" s="30"/>
      <c r="H61" s="30"/>
      <c r="I61" s="30"/>
      <c r="J61" s="30"/>
      <c r="K61" s="31"/>
    </row>
  </sheetData>
  <autoFilter ref="A3:K37"/>
  <mergeCells count="2">
    <mergeCell ref="A1:K1"/>
    <mergeCell ref="A2:K2"/>
  </mergeCells>
  <printOptions headings="false" gridLines="false" gridLinesSet="true" horizontalCentered="false" verticalCentered="false"/>
  <pageMargins left="0.4" right="0.4" top="0.65" bottom="0.5" header="0.279861111111111" footer="0.279861111111111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>&amp;L&amp;"微软雅黑,标准"&amp;9 费用汇总&amp;R&amp;"Calibri,标准"德阳市什邡市2个污染地块</oddHeader>
    <oddFooter>&amp;L&amp;"Calibri,标准"什邡2个污染地块施工成本测算 · 不引用投资估算单价&amp;R&amp;"Calibri,标准"第 &amp;P 页 / 共 &amp;N 页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true"/>
  </sheetPr>
  <dimension ref="A1:P138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9.1"/>
    <col collapsed="false" customWidth="true" hidden="false" outlineLevel="0" max="3" min="3" style="1" width="23.66"/>
    <col collapsed="false" customWidth="true" hidden="false" outlineLevel="0" max="5" min="4" style="1" width="7.28"/>
    <col collapsed="false" customWidth="true" hidden="false" outlineLevel="0" max="6" min="6" style="1" width="9.1"/>
    <col collapsed="false" customWidth="true" hidden="false" outlineLevel="0" max="7" min="7" style="1" width="20.01"/>
    <col collapsed="false" customWidth="true" hidden="false" outlineLevel="0" max="8" min="8" style="1" width="9.1"/>
    <col collapsed="false" customWidth="true" hidden="false" outlineLevel="0" max="9" min="9" style="1" width="10.92"/>
    <col collapsed="false" customWidth="true" hidden="false" outlineLevel="0" max="11" min="10" style="1" width="12.74"/>
    <col collapsed="false" customWidth="true" hidden="false" outlineLevel="0" max="14" min="12" style="1" width="10.92"/>
    <col collapsed="false" customWidth="true" hidden="false" outlineLevel="0" max="15" min="15" style="1" width="25.47"/>
    <col collapsed="false" customWidth="true" hidden="false" outlineLevel="0" max="16" min="16" style="1" width="12.74"/>
  </cols>
  <sheetData>
    <row r="1" customFormat="false" ht="30" hidden="false" customHeight="true" outlineLevel="0" collapsed="false">
      <c r="A1" s="13" t="s">
        <v>266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customFormat="false" ht="21.75" hidden="false" customHeight="true" outlineLevel="0" collapsed="false">
      <c r="A2" s="14" t="s">
        <v>267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customFormat="false" ht="27.75" hidden="false" customHeight="true" outlineLevel="0" collapsed="false">
      <c r="A3" s="6" t="s">
        <v>38</v>
      </c>
      <c r="B3" s="6" t="s">
        <v>268</v>
      </c>
      <c r="C3" s="6" t="s">
        <v>41</v>
      </c>
      <c r="D3" s="6" t="s">
        <v>43</v>
      </c>
      <c r="E3" s="6" t="s">
        <v>269</v>
      </c>
      <c r="F3" s="6" t="s">
        <v>270</v>
      </c>
      <c r="G3" s="6" t="s">
        <v>271</v>
      </c>
      <c r="H3" s="6" t="s">
        <v>272</v>
      </c>
      <c r="I3" s="6" t="s">
        <v>273</v>
      </c>
      <c r="J3" s="6" t="s">
        <v>274</v>
      </c>
      <c r="K3" s="6" t="s">
        <v>275</v>
      </c>
      <c r="L3" s="6" t="s">
        <v>276</v>
      </c>
      <c r="M3" s="6" t="s">
        <v>277</v>
      </c>
      <c r="N3" s="6" t="s">
        <v>278</v>
      </c>
      <c r="O3" s="6" t="s">
        <v>279</v>
      </c>
      <c r="P3" s="6" t="s">
        <v>45</v>
      </c>
    </row>
    <row r="4" customFormat="false" ht="21.75" hidden="false" customHeight="true" outlineLevel="0" collapsed="false">
      <c r="A4" s="6" t="n">
        <v>1</v>
      </c>
      <c r="B4" s="6" t="s">
        <v>50</v>
      </c>
      <c r="C4" s="44" t="s">
        <v>51</v>
      </c>
      <c r="D4" s="6" t="s">
        <v>53</v>
      </c>
      <c r="E4" s="6" t="s">
        <v>280</v>
      </c>
      <c r="F4" s="6"/>
      <c r="G4" s="6"/>
      <c r="H4" s="6"/>
      <c r="I4" s="6"/>
      <c r="J4" s="6"/>
      <c r="K4" s="45" t="n">
        <f aca="false">SUM(K5:K6)</f>
        <v>10400</v>
      </c>
      <c r="L4" s="46" t="n">
        <f aca="false">SUMIF(E5:E6,"人工",K5:K6)</f>
        <v>10400</v>
      </c>
      <c r="M4" s="46" t="n">
        <f aca="false">SUMIF(E5:E6,"材料",K5:K6)</f>
        <v>0</v>
      </c>
      <c r="N4" s="46" t="n">
        <f aca="false">SUMIF(E5:E6,"机械",K5:K6)+SUMIF(E5:E6,"外委",K5:K6)</f>
        <v>0</v>
      </c>
      <c r="O4" s="47" t="s">
        <v>281</v>
      </c>
      <c r="P4" s="45" t="n">
        <f aca="false">K4</f>
        <v>10400</v>
      </c>
    </row>
    <row r="5" customFormat="false" ht="18" hidden="false" customHeight="true" outlineLevel="0" collapsed="false">
      <c r="A5" s="15" t="s">
        <v>282</v>
      </c>
      <c r="B5" s="15" t="s">
        <v>50</v>
      </c>
      <c r="C5" s="7" t="s">
        <v>51</v>
      </c>
      <c r="D5" s="15" t="s">
        <v>53</v>
      </c>
      <c r="E5" s="15" t="s">
        <v>276</v>
      </c>
      <c r="F5" s="16" t="s">
        <v>283</v>
      </c>
      <c r="G5" s="7" t="s">
        <v>284</v>
      </c>
      <c r="H5" s="15" t="s">
        <v>285</v>
      </c>
      <c r="I5" s="48" t="n">
        <v>16</v>
      </c>
      <c r="J5" s="8" t="n">
        <f aca="false">IFERROR(VLOOKUP(F5,工料机价格!$A$4:$F$45,6,FALSE()),0)</f>
        <v>350</v>
      </c>
      <c r="K5" s="19" t="n">
        <f aca="false">I5*J5</f>
        <v>5600</v>
      </c>
      <c r="L5" s="19" t="n">
        <f aca="false">IF(E5="人工",K5,0)</f>
        <v>5600</v>
      </c>
      <c r="M5" s="19" t="n">
        <f aca="false">IF(E5="材料",K5,0)</f>
        <v>0</v>
      </c>
      <c r="N5" s="19" t="n">
        <f aca="false">IF(OR(E5="机械",E5="外委"),K5,0)</f>
        <v>0</v>
      </c>
      <c r="O5" s="17" t="s">
        <v>286</v>
      </c>
      <c r="P5" s="15"/>
    </row>
    <row r="6" customFormat="false" ht="18" hidden="false" customHeight="true" outlineLevel="0" collapsed="false">
      <c r="A6" s="21" t="s">
        <v>287</v>
      </c>
      <c r="B6" s="21" t="s">
        <v>50</v>
      </c>
      <c r="C6" s="10" t="s">
        <v>51</v>
      </c>
      <c r="D6" s="21" t="s">
        <v>53</v>
      </c>
      <c r="E6" s="21" t="s">
        <v>276</v>
      </c>
      <c r="F6" s="22" t="s">
        <v>288</v>
      </c>
      <c r="G6" s="10" t="s">
        <v>289</v>
      </c>
      <c r="H6" s="21" t="s">
        <v>285</v>
      </c>
      <c r="I6" s="48" t="n">
        <v>16</v>
      </c>
      <c r="J6" s="8" t="n">
        <f aca="false">IFERROR(VLOOKUP(F6,工料机价格!$A$4:$F$45,6,FALSE()),0)</f>
        <v>300</v>
      </c>
      <c r="K6" s="24" t="n">
        <f aca="false">I6*J6</f>
        <v>4800</v>
      </c>
      <c r="L6" s="24" t="n">
        <f aca="false">IF(E6="人工",K6,0)</f>
        <v>4800</v>
      </c>
      <c r="M6" s="24" t="n">
        <f aca="false">IF(E6="材料",K6,0)</f>
        <v>0</v>
      </c>
      <c r="N6" s="24" t="n">
        <f aca="false">IF(OR(E6="机械",E6="外委"),K6,0)</f>
        <v>0</v>
      </c>
      <c r="O6" s="23" t="s">
        <v>290</v>
      </c>
      <c r="P6" s="21"/>
    </row>
    <row r="7" customFormat="false" ht="21.75" hidden="false" customHeight="true" outlineLevel="0" collapsed="false">
      <c r="A7" s="6" t="n">
        <v>2</v>
      </c>
      <c r="B7" s="6" t="s">
        <v>56</v>
      </c>
      <c r="C7" s="44" t="s">
        <v>57</v>
      </c>
      <c r="D7" s="6" t="s">
        <v>59</v>
      </c>
      <c r="E7" s="6" t="s">
        <v>280</v>
      </c>
      <c r="F7" s="6"/>
      <c r="G7" s="6"/>
      <c r="H7" s="6"/>
      <c r="I7" s="6"/>
      <c r="J7" s="6"/>
      <c r="K7" s="45" t="n">
        <f aca="false">SUM(K8:K12)</f>
        <v>294.2946</v>
      </c>
      <c r="L7" s="46" t="n">
        <f aca="false">SUMIF(E8:E12,"人工",K8:K12)</f>
        <v>12</v>
      </c>
      <c r="M7" s="46" t="n">
        <f aca="false">SUMIF(E8:E12,"材料",K8:K12)</f>
        <v>269.4</v>
      </c>
      <c r="N7" s="46" t="n">
        <f aca="false">SUMIF(E8:E12,"机械",K8:K12)+SUMIF(E8:E12,"外委",K8:K12)</f>
        <v>12.8946</v>
      </c>
      <c r="O7" s="47" t="s">
        <v>291</v>
      </c>
      <c r="P7" s="45" t="n">
        <f aca="false">K7</f>
        <v>294.2946</v>
      </c>
    </row>
    <row r="8" customFormat="false" ht="18" hidden="false" customHeight="true" outlineLevel="0" collapsed="false">
      <c r="A8" s="15" t="s">
        <v>292</v>
      </c>
      <c r="B8" s="15" t="s">
        <v>56</v>
      </c>
      <c r="C8" s="7" t="s">
        <v>57</v>
      </c>
      <c r="D8" s="15" t="s">
        <v>59</v>
      </c>
      <c r="E8" s="15" t="s">
        <v>276</v>
      </c>
      <c r="F8" s="16" t="s">
        <v>288</v>
      </c>
      <c r="G8" s="7" t="s">
        <v>289</v>
      </c>
      <c r="H8" s="15" t="s">
        <v>285</v>
      </c>
      <c r="I8" s="48" t="n">
        <v>0.04</v>
      </c>
      <c r="J8" s="8" t="n">
        <f aca="false">IFERROR(VLOOKUP(F8,工料机价格!$A$4:$F$45,6,FALSE()),0)</f>
        <v>300</v>
      </c>
      <c r="K8" s="19" t="n">
        <f aca="false">I8*J8</f>
        <v>12</v>
      </c>
      <c r="L8" s="19" t="n">
        <f aca="false">IF(E8="人工",K8,0)</f>
        <v>12</v>
      </c>
      <c r="M8" s="19" t="n">
        <f aca="false">IF(E8="材料",K8,0)</f>
        <v>0</v>
      </c>
      <c r="N8" s="19" t="n">
        <f aca="false">IF(OR(E8="机械",E8="外委"),K8,0)</f>
        <v>0</v>
      </c>
      <c r="O8" s="17" t="s">
        <v>293</v>
      </c>
      <c r="P8" s="15"/>
    </row>
    <row r="9" customFormat="false" ht="18" hidden="false" customHeight="true" outlineLevel="0" collapsed="false">
      <c r="A9" s="21" t="s">
        <v>294</v>
      </c>
      <c r="B9" s="21" t="s">
        <v>56</v>
      </c>
      <c r="C9" s="10" t="s">
        <v>57</v>
      </c>
      <c r="D9" s="21" t="s">
        <v>59</v>
      </c>
      <c r="E9" s="21" t="s">
        <v>277</v>
      </c>
      <c r="F9" s="22" t="s">
        <v>295</v>
      </c>
      <c r="G9" s="10" t="s">
        <v>296</v>
      </c>
      <c r="H9" s="21" t="s">
        <v>114</v>
      </c>
      <c r="I9" s="48" t="n">
        <v>0.8</v>
      </c>
      <c r="J9" s="8" t="n">
        <f aca="false">IFERROR(VLOOKUP(F9,工料机价格!$A$4:$F$45,6,FALSE()),0)</f>
        <v>78</v>
      </c>
      <c r="K9" s="24" t="n">
        <f aca="false">I9*J9</f>
        <v>62.4</v>
      </c>
      <c r="L9" s="24" t="n">
        <f aca="false">IF(E9="人工",K9,0)</f>
        <v>0</v>
      </c>
      <c r="M9" s="24" t="n">
        <f aca="false">IF(E9="材料",K9,0)</f>
        <v>62.4</v>
      </c>
      <c r="N9" s="24" t="n">
        <f aca="false">IF(OR(E9="机械",E9="外委"),K9,0)</f>
        <v>0</v>
      </c>
      <c r="O9" s="23" t="s">
        <v>297</v>
      </c>
      <c r="P9" s="21"/>
    </row>
    <row r="10" customFormat="false" ht="18" hidden="false" customHeight="true" outlineLevel="0" collapsed="false">
      <c r="A10" s="15" t="s">
        <v>298</v>
      </c>
      <c r="B10" s="15" t="s">
        <v>56</v>
      </c>
      <c r="C10" s="7" t="s">
        <v>57</v>
      </c>
      <c r="D10" s="15" t="s">
        <v>59</v>
      </c>
      <c r="E10" s="15" t="s">
        <v>277</v>
      </c>
      <c r="F10" s="16" t="s">
        <v>299</v>
      </c>
      <c r="G10" s="7" t="s">
        <v>300</v>
      </c>
      <c r="H10" s="15" t="s">
        <v>114</v>
      </c>
      <c r="I10" s="48" t="n">
        <v>0.6</v>
      </c>
      <c r="J10" s="8" t="n">
        <f aca="false">IFERROR(VLOOKUP(F10,工料机价格!$A$4:$F$45,6,FALSE()),0)</f>
        <v>345</v>
      </c>
      <c r="K10" s="19" t="n">
        <f aca="false">I10*J10</f>
        <v>207</v>
      </c>
      <c r="L10" s="19" t="n">
        <f aca="false">IF(E10="人工",K10,0)</f>
        <v>0</v>
      </c>
      <c r="M10" s="19" t="n">
        <f aca="false">IF(E10="材料",K10,0)</f>
        <v>207</v>
      </c>
      <c r="N10" s="19" t="n">
        <f aca="false">IF(OR(E10="机械",E10="外委"),K10,0)</f>
        <v>0</v>
      </c>
      <c r="O10" s="17" t="s">
        <v>301</v>
      </c>
      <c r="P10" s="15"/>
    </row>
    <row r="11" customFormat="false" ht="18" hidden="false" customHeight="true" outlineLevel="0" collapsed="false">
      <c r="A11" s="21" t="s">
        <v>302</v>
      </c>
      <c r="B11" s="21" t="s">
        <v>56</v>
      </c>
      <c r="C11" s="10" t="s">
        <v>57</v>
      </c>
      <c r="D11" s="21" t="s">
        <v>59</v>
      </c>
      <c r="E11" s="21" t="s">
        <v>278</v>
      </c>
      <c r="F11" s="22" t="s">
        <v>303</v>
      </c>
      <c r="G11" s="10" t="s">
        <v>304</v>
      </c>
      <c r="H11" s="21" t="s">
        <v>305</v>
      </c>
      <c r="I11" s="48" t="n">
        <v>0.006</v>
      </c>
      <c r="J11" s="8" t="n">
        <f aca="false">IFERROR(VLOOKUP(F11,工料机价格!$A$4:$F$45,6,FALSE()),0)</f>
        <v>1445.9</v>
      </c>
      <c r="K11" s="24" t="n">
        <f aca="false">I11*J11</f>
        <v>8.6754</v>
      </c>
      <c r="L11" s="24" t="n">
        <f aca="false">IF(E11="人工",K11,0)</f>
        <v>0</v>
      </c>
      <c r="M11" s="24" t="n">
        <f aca="false">IF(E11="材料",K11,0)</f>
        <v>0</v>
      </c>
      <c r="N11" s="24" t="n">
        <f aca="false">IF(OR(E11="机械",E11="外委"),K11,0)</f>
        <v>8.6754</v>
      </c>
      <c r="O11" s="23" t="s">
        <v>306</v>
      </c>
      <c r="P11" s="21"/>
    </row>
    <row r="12" customFormat="false" ht="18" hidden="false" customHeight="true" outlineLevel="0" collapsed="false">
      <c r="A12" s="15" t="s">
        <v>307</v>
      </c>
      <c r="B12" s="15" t="s">
        <v>56</v>
      </c>
      <c r="C12" s="7" t="s">
        <v>57</v>
      </c>
      <c r="D12" s="15" t="s">
        <v>59</v>
      </c>
      <c r="E12" s="15" t="s">
        <v>278</v>
      </c>
      <c r="F12" s="16" t="s">
        <v>308</v>
      </c>
      <c r="G12" s="7" t="s">
        <v>309</v>
      </c>
      <c r="H12" s="15" t="s">
        <v>305</v>
      </c>
      <c r="I12" s="48" t="n">
        <v>0.004</v>
      </c>
      <c r="J12" s="8" t="n">
        <f aca="false">IFERROR(VLOOKUP(F12,工料机价格!$A$4:$F$45,6,FALSE()),0)</f>
        <v>1054.8</v>
      </c>
      <c r="K12" s="19" t="n">
        <f aca="false">I12*J12</f>
        <v>4.2192</v>
      </c>
      <c r="L12" s="19" t="n">
        <f aca="false">IF(E12="人工",K12,0)</f>
        <v>0</v>
      </c>
      <c r="M12" s="19" t="n">
        <f aca="false">IF(E12="材料",K12,0)</f>
        <v>0</v>
      </c>
      <c r="N12" s="19" t="n">
        <f aca="false">IF(OR(E12="机械",E12="外委"),K12,0)</f>
        <v>4.2192</v>
      </c>
      <c r="O12" s="17" t="s">
        <v>310</v>
      </c>
      <c r="P12" s="15"/>
    </row>
    <row r="13" customFormat="false" ht="21.75" hidden="false" customHeight="true" outlineLevel="0" collapsed="false">
      <c r="A13" s="6" t="n">
        <v>3</v>
      </c>
      <c r="B13" s="6" t="s">
        <v>62</v>
      </c>
      <c r="C13" s="44" t="s">
        <v>63</v>
      </c>
      <c r="D13" s="6" t="s">
        <v>65</v>
      </c>
      <c r="E13" s="6" t="s">
        <v>280</v>
      </c>
      <c r="F13" s="6"/>
      <c r="G13" s="6"/>
      <c r="H13" s="6"/>
      <c r="I13" s="6"/>
      <c r="J13" s="6"/>
      <c r="K13" s="45" t="n">
        <f aca="false">SUM(K14:K19)</f>
        <v>15162.55</v>
      </c>
      <c r="L13" s="46" t="n">
        <f aca="false">SUMIF(E14:E19,"人工",K14:K19)</f>
        <v>4300</v>
      </c>
      <c r="M13" s="46" t="n">
        <f aca="false">SUMIF(E14:E19,"材料",K14:K19)</f>
        <v>9975.9</v>
      </c>
      <c r="N13" s="46" t="n">
        <f aca="false">SUMIF(E14:E19,"机械",K14:K19)+SUMIF(E14:E19,"外委",K14:K19)</f>
        <v>886.65</v>
      </c>
      <c r="O13" s="47" t="s">
        <v>311</v>
      </c>
      <c r="P13" s="45" t="n">
        <f aca="false">K13</f>
        <v>15162.55</v>
      </c>
    </row>
    <row r="14" customFormat="false" ht="18" hidden="false" customHeight="true" outlineLevel="0" collapsed="false">
      <c r="A14" s="15" t="s">
        <v>312</v>
      </c>
      <c r="B14" s="15" t="s">
        <v>62</v>
      </c>
      <c r="C14" s="7" t="s">
        <v>63</v>
      </c>
      <c r="D14" s="15" t="s">
        <v>65</v>
      </c>
      <c r="E14" s="15" t="s">
        <v>276</v>
      </c>
      <c r="F14" s="16" t="s">
        <v>288</v>
      </c>
      <c r="G14" s="7" t="s">
        <v>289</v>
      </c>
      <c r="H14" s="15" t="s">
        <v>285</v>
      </c>
      <c r="I14" s="48" t="n">
        <v>12</v>
      </c>
      <c r="J14" s="8" t="n">
        <f aca="false">IFERROR(VLOOKUP(F14,工料机价格!$A$4:$F$45,6,FALSE()),0)</f>
        <v>300</v>
      </c>
      <c r="K14" s="19" t="n">
        <f aca="false">I14*J14</f>
        <v>3600</v>
      </c>
      <c r="L14" s="19" t="n">
        <f aca="false">IF(E14="人工",K14,0)</f>
        <v>3600</v>
      </c>
      <c r="M14" s="19" t="n">
        <f aca="false">IF(E14="材料",K14,0)</f>
        <v>0</v>
      </c>
      <c r="N14" s="19" t="n">
        <f aca="false">IF(OR(E14="机械",E14="外委"),K14,0)</f>
        <v>0</v>
      </c>
      <c r="O14" s="17" t="s">
        <v>313</v>
      </c>
      <c r="P14" s="15"/>
    </row>
    <row r="15" customFormat="false" ht="18" hidden="false" customHeight="true" outlineLevel="0" collapsed="false">
      <c r="A15" s="21" t="s">
        <v>314</v>
      </c>
      <c r="B15" s="21" t="s">
        <v>62</v>
      </c>
      <c r="C15" s="10" t="s">
        <v>63</v>
      </c>
      <c r="D15" s="21" t="s">
        <v>65</v>
      </c>
      <c r="E15" s="21" t="s">
        <v>276</v>
      </c>
      <c r="F15" s="22" t="s">
        <v>283</v>
      </c>
      <c r="G15" s="10" t="s">
        <v>284</v>
      </c>
      <c r="H15" s="21" t="s">
        <v>285</v>
      </c>
      <c r="I15" s="48" t="n">
        <v>2</v>
      </c>
      <c r="J15" s="8" t="n">
        <f aca="false">IFERROR(VLOOKUP(F15,工料机价格!$A$4:$F$45,6,FALSE()),0)</f>
        <v>350</v>
      </c>
      <c r="K15" s="24" t="n">
        <f aca="false">I15*J15</f>
        <v>700</v>
      </c>
      <c r="L15" s="24" t="n">
        <f aca="false">IF(E15="人工",K15,0)</f>
        <v>700</v>
      </c>
      <c r="M15" s="24" t="n">
        <f aca="false">IF(E15="材料",K15,0)</f>
        <v>0</v>
      </c>
      <c r="N15" s="24" t="n">
        <f aca="false">IF(OR(E15="机械",E15="外委"),K15,0)</f>
        <v>0</v>
      </c>
      <c r="O15" s="23" t="s">
        <v>315</v>
      </c>
      <c r="P15" s="21"/>
    </row>
    <row r="16" customFormat="false" ht="18" hidden="false" customHeight="true" outlineLevel="0" collapsed="false">
      <c r="A16" s="15" t="s">
        <v>316</v>
      </c>
      <c r="B16" s="15" t="s">
        <v>62</v>
      </c>
      <c r="C16" s="7" t="s">
        <v>63</v>
      </c>
      <c r="D16" s="15" t="s">
        <v>65</v>
      </c>
      <c r="E16" s="15" t="s">
        <v>277</v>
      </c>
      <c r="F16" s="16" t="s">
        <v>317</v>
      </c>
      <c r="G16" s="7" t="s">
        <v>318</v>
      </c>
      <c r="H16" s="15" t="s">
        <v>65</v>
      </c>
      <c r="I16" s="48" t="n">
        <v>1</v>
      </c>
      <c r="J16" s="8" t="n">
        <f aca="false">IFERROR(VLOOKUP(F16,工料机价格!$A$4:$F$45,6,FALSE()),0)</f>
        <v>990.9</v>
      </c>
      <c r="K16" s="19" t="n">
        <f aca="false">I16*J16</f>
        <v>990.9</v>
      </c>
      <c r="L16" s="19" t="n">
        <f aca="false">IF(E16="人工",K16,0)</f>
        <v>0</v>
      </c>
      <c r="M16" s="19" t="n">
        <f aca="false">IF(E16="材料",K16,0)</f>
        <v>990.9</v>
      </c>
      <c r="N16" s="19" t="n">
        <f aca="false">IF(OR(E16="机械",E16="外委"),K16,0)</f>
        <v>0</v>
      </c>
      <c r="O16" s="17" t="s">
        <v>319</v>
      </c>
      <c r="P16" s="15"/>
    </row>
    <row r="17" customFormat="false" ht="18" hidden="false" customHeight="true" outlineLevel="0" collapsed="false">
      <c r="A17" s="21" t="s">
        <v>320</v>
      </c>
      <c r="B17" s="21" t="s">
        <v>62</v>
      </c>
      <c r="C17" s="10" t="s">
        <v>63</v>
      </c>
      <c r="D17" s="21" t="s">
        <v>65</v>
      </c>
      <c r="E17" s="21" t="s">
        <v>277</v>
      </c>
      <c r="F17" s="22" t="s">
        <v>299</v>
      </c>
      <c r="G17" s="10" t="s">
        <v>300</v>
      </c>
      <c r="H17" s="21" t="s">
        <v>114</v>
      </c>
      <c r="I17" s="48" t="n">
        <v>25</v>
      </c>
      <c r="J17" s="8" t="n">
        <f aca="false">IFERROR(VLOOKUP(F17,工料机价格!$A$4:$F$45,6,FALSE()),0)</f>
        <v>345</v>
      </c>
      <c r="K17" s="24" t="n">
        <f aca="false">I17*J17</f>
        <v>8625</v>
      </c>
      <c r="L17" s="24" t="n">
        <f aca="false">IF(E17="人工",K17,0)</f>
        <v>0</v>
      </c>
      <c r="M17" s="24" t="n">
        <f aca="false">IF(E17="材料",K17,0)</f>
        <v>8625</v>
      </c>
      <c r="N17" s="24" t="n">
        <f aca="false">IF(OR(E17="机械",E17="外委"),K17,0)</f>
        <v>0</v>
      </c>
      <c r="O17" s="23" t="s">
        <v>321</v>
      </c>
      <c r="P17" s="21"/>
    </row>
    <row r="18" customFormat="false" ht="18" hidden="false" customHeight="true" outlineLevel="0" collapsed="false">
      <c r="A18" s="15" t="s">
        <v>322</v>
      </c>
      <c r="B18" s="15" t="s">
        <v>62</v>
      </c>
      <c r="C18" s="7" t="s">
        <v>63</v>
      </c>
      <c r="D18" s="15" t="s">
        <v>65</v>
      </c>
      <c r="E18" s="15" t="s">
        <v>277</v>
      </c>
      <c r="F18" s="16" t="s">
        <v>323</v>
      </c>
      <c r="G18" s="7" t="s">
        <v>324</v>
      </c>
      <c r="H18" s="15" t="s">
        <v>76</v>
      </c>
      <c r="I18" s="48" t="n">
        <v>30</v>
      </c>
      <c r="J18" s="8" t="n">
        <f aca="false">IFERROR(VLOOKUP(F18,工料机价格!$A$4:$F$45,6,FALSE()),0)</f>
        <v>12</v>
      </c>
      <c r="K18" s="19" t="n">
        <f aca="false">I18*J18</f>
        <v>360</v>
      </c>
      <c r="L18" s="19" t="n">
        <f aca="false">IF(E18="人工",K18,0)</f>
        <v>0</v>
      </c>
      <c r="M18" s="19" t="n">
        <f aca="false">IF(E18="材料",K18,0)</f>
        <v>360</v>
      </c>
      <c r="N18" s="19" t="n">
        <f aca="false">IF(OR(E18="机械",E18="外委"),K18,0)</f>
        <v>0</v>
      </c>
      <c r="O18" s="17" t="s">
        <v>325</v>
      </c>
      <c r="P18" s="15"/>
    </row>
    <row r="19" customFormat="false" ht="18" hidden="false" customHeight="true" outlineLevel="0" collapsed="false">
      <c r="A19" s="21" t="s">
        <v>326</v>
      </c>
      <c r="B19" s="21" t="s">
        <v>62</v>
      </c>
      <c r="C19" s="10" t="s">
        <v>63</v>
      </c>
      <c r="D19" s="21" t="s">
        <v>65</v>
      </c>
      <c r="E19" s="21" t="s">
        <v>278</v>
      </c>
      <c r="F19" s="22" t="s">
        <v>327</v>
      </c>
      <c r="G19" s="10" t="s">
        <v>328</v>
      </c>
      <c r="H19" s="21" t="s">
        <v>305</v>
      </c>
      <c r="I19" s="48" t="n">
        <v>0.5</v>
      </c>
      <c r="J19" s="8" t="n">
        <f aca="false">IFERROR(VLOOKUP(F19,工料机价格!$A$4:$F$45,6,FALSE()),0)</f>
        <v>1773.3</v>
      </c>
      <c r="K19" s="24" t="n">
        <f aca="false">I19*J19</f>
        <v>886.65</v>
      </c>
      <c r="L19" s="24" t="n">
        <f aca="false">IF(E19="人工",K19,0)</f>
        <v>0</v>
      </c>
      <c r="M19" s="24" t="n">
        <f aca="false">IF(E19="材料",K19,0)</f>
        <v>0</v>
      </c>
      <c r="N19" s="24" t="n">
        <f aca="false">IF(OR(E19="机械",E19="外委"),K19,0)</f>
        <v>886.65</v>
      </c>
      <c r="O19" s="23" t="s">
        <v>329</v>
      </c>
      <c r="P19" s="21"/>
    </row>
    <row r="20" customFormat="false" ht="21.75" hidden="false" customHeight="true" outlineLevel="0" collapsed="false">
      <c r="A20" s="6" t="n">
        <v>4</v>
      </c>
      <c r="B20" s="6" t="s">
        <v>68</v>
      </c>
      <c r="C20" s="44" t="s">
        <v>69</v>
      </c>
      <c r="D20" s="6" t="s">
        <v>59</v>
      </c>
      <c r="E20" s="6" t="s">
        <v>280</v>
      </c>
      <c r="F20" s="6"/>
      <c r="G20" s="6"/>
      <c r="H20" s="6"/>
      <c r="I20" s="6"/>
      <c r="J20" s="6"/>
      <c r="K20" s="45" t="n">
        <f aca="false">SUM(K21:K24)</f>
        <v>108.6418</v>
      </c>
      <c r="L20" s="46" t="n">
        <f aca="false">SUMIF(E21:E24,"人工",K21:K24)</f>
        <v>24</v>
      </c>
      <c r="M20" s="46" t="n">
        <f aca="false">SUMIF(E21:E24,"材料",K21:K24)</f>
        <v>77.55</v>
      </c>
      <c r="N20" s="46" t="n">
        <f aca="false">SUMIF(E21:E24,"机械",K21:K24)+SUMIF(E21:E24,"外委",K21:K24)</f>
        <v>7.0918</v>
      </c>
      <c r="O20" s="47" t="s">
        <v>330</v>
      </c>
      <c r="P20" s="45" t="n">
        <f aca="false">K20</f>
        <v>108.6418</v>
      </c>
    </row>
    <row r="21" customFormat="false" ht="18" hidden="false" customHeight="true" outlineLevel="0" collapsed="false">
      <c r="A21" s="15" t="s">
        <v>331</v>
      </c>
      <c r="B21" s="15" t="s">
        <v>68</v>
      </c>
      <c r="C21" s="7" t="s">
        <v>69</v>
      </c>
      <c r="D21" s="15" t="s">
        <v>59</v>
      </c>
      <c r="E21" s="15" t="s">
        <v>276</v>
      </c>
      <c r="F21" s="16" t="s">
        <v>288</v>
      </c>
      <c r="G21" s="7" t="s">
        <v>289</v>
      </c>
      <c r="H21" s="15" t="s">
        <v>285</v>
      </c>
      <c r="I21" s="48" t="n">
        <v>0.08</v>
      </c>
      <c r="J21" s="8" t="n">
        <f aca="false">IFERROR(VLOOKUP(F21,工料机价格!$A$4:$F$45,6,FALSE()),0)</f>
        <v>300</v>
      </c>
      <c r="K21" s="19" t="n">
        <f aca="false">I21*J21</f>
        <v>24</v>
      </c>
      <c r="L21" s="19" t="n">
        <f aca="false">IF(E21="人工",K21,0)</f>
        <v>24</v>
      </c>
      <c r="M21" s="19" t="n">
        <f aca="false">IF(E21="材料",K21,0)</f>
        <v>0</v>
      </c>
      <c r="N21" s="19" t="n">
        <f aca="false">IF(OR(E21="机械",E21="外委"),K21,0)</f>
        <v>0</v>
      </c>
      <c r="O21" s="17" t="s">
        <v>332</v>
      </c>
      <c r="P21" s="15"/>
    </row>
    <row r="22" customFormat="false" ht="18" hidden="false" customHeight="true" outlineLevel="0" collapsed="false">
      <c r="A22" s="21" t="s">
        <v>333</v>
      </c>
      <c r="B22" s="21" t="s">
        <v>68</v>
      </c>
      <c r="C22" s="10" t="s">
        <v>69</v>
      </c>
      <c r="D22" s="21" t="s">
        <v>59</v>
      </c>
      <c r="E22" s="21" t="s">
        <v>277</v>
      </c>
      <c r="F22" s="22" t="s">
        <v>334</v>
      </c>
      <c r="G22" s="10" t="s">
        <v>335</v>
      </c>
      <c r="H22" s="21" t="s">
        <v>76</v>
      </c>
      <c r="I22" s="48" t="n">
        <v>2.1</v>
      </c>
      <c r="J22" s="8" t="n">
        <f aca="false">IFERROR(VLOOKUP(F22,工料机价格!$A$4:$F$45,6,FALSE()),0)</f>
        <v>32</v>
      </c>
      <c r="K22" s="24" t="n">
        <f aca="false">I22*J22</f>
        <v>67.2</v>
      </c>
      <c r="L22" s="24" t="n">
        <f aca="false">IF(E22="人工",K22,0)</f>
        <v>0</v>
      </c>
      <c r="M22" s="24" t="n">
        <f aca="false">IF(E22="材料",K22,0)</f>
        <v>67.2</v>
      </c>
      <c r="N22" s="24" t="n">
        <f aca="false">IF(OR(E22="机械",E22="外委"),K22,0)</f>
        <v>0</v>
      </c>
      <c r="O22" s="23" t="s">
        <v>336</v>
      </c>
      <c r="P22" s="21"/>
    </row>
    <row r="23" customFormat="false" ht="18" hidden="false" customHeight="true" outlineLevel="0" collapsed="false">
      <c r="A23" s="15" t="s">
        <v>337</v>
      </c>
      <c r="B23" s="15" t="s">
        <v>68</v>
      </c>
      <c r="C23" s="7" t="s">
        <v>69</v>
      </c>
      <c r="D23" s="15" t="s">
        <v>59</v>
      </c>
      <c r="E23" s="15" t="s">
        <v>277</v>
      </c>
      <c r="F23" s="16" t="s">
        <v>299</v>
      </c>
      <c r="G23" s="7" t="s">
        <v>300</v>
      </c>
      <c r="H23" s="15" t="s">
        <v>114</v>
      </c>
      <c r="I23" s="48" t="n">
        <v>0.03</v>
      </c>
      <c r="J23" s="8" t="n">
        <f aca="false">IFERROR(VLOOKUP(F23,工料机价格!$A$4:$F$45,6,FALSE()),0)</f>
        <v>345</v>
      </c>
      <c r="K23" s="19" t="n">
        <f aca="false">I23*J23</f>
        <v>10.35</v>
      </c>
      <c r="L23" s="19" t="n">
        <f aca="false">IF(E23="人工",K23,0)</f>
        <v>0</v>
      </c>
      <c r="M23" s="19" t="n">
        <f aca="false">IF(E23="材料",K23,0)</f>
        <v>10.35</v>
      </c>
      <c r="N23" s="19" t="n">
        <f aca="false">IF(OR(E23="机械",E23="外委"),K23,0)</f>
        <v>0</v>
      </c>
      <c r="O23" s="17" t="s">
        <v>338</v>
      </c>
      <c r="P23" s="15"/>
    </row>
    <row r="24" customFormat="false" ht="18" hidden="false" customHeight="true" outlineLevel="0" collapsed="false">
      <c r="A24" s="21" t="s">
        <v>339</v>
      </c>
      <c r="B24" s="21" t="s">
        <v>68</v>
      </c>
      <c r="C24" s="10" t="s">
        <v>69</v>
      </c>
      <c r="D24" s="21" t="s">
        <v>59</v>
      </c>
      <c r="E24" s="21" t="s">
        <v>278</v>
      </c>
      <c r="F24" s="22" t="s">
        <v>340</v>
      </c>
      <c r="G24" s="10" t="s">
        <v>341</v>
      </c>
      <c r="H24" s="21" t="s">
        <v>305</v>
      </c>
      <c r="I24" s="48" t="n">
        <v>0.004</v>
      </c>
      <c r="J24" s="8" t="n">
        <f aca="false">IFERROR(VLOOKUP(F24,工料机价格!$A$4:$F$45,6,FALSE()),0)</f>
        <v>1772.95</v>
      </c>
      <c r="K24" s="24" t="n">
        <f aca="false">I24*J24</f>
        <v>7.0918</v>
      </c>
      <c r="L24" s="24" t="n">
        <f aca="false">IF(E24="人工",K24,0)</f>
        <v>0</v>
      </c>
      <c r="M24" s="24" t="n">
        <f aca="false">IF(E24="材料",K24,0)</f>
        <v>0</v>
      </c>
      <c r="N24" s="24" t="n">
        <f aca="false">IF(OR(E24="机械",E24="外委"),K24,0)</f>
        <v>7.0918</v>
      </c>
      <c r="O24" s="23" t="s">
        <v>332</v>
      </c>
      <c r="P24" s="21"/>
    </row>
    <row r="25" customFormat="false" ht="21.75" hidden="false" customHeight="true" outlineLevel="0" collapsed="false">
      <c r="A25" s="6" t="n">
        <v>5</v>
      </c>
      <c r="B25" s="6" t="s">
        <v>73</v>
      </c>
      <c r="C25" s="44" t="s">
        <v>74</v>
      </c>
      <c r="D25" s="6" t="s">
        <v>76</v>
      </c>
      <c r="E25" s="6" t="s">
        <v>280</v>
      </c>
      <c r="F25" s="6"/>
      <c r="G25" s="6"/>
      <c r="H25" s="6"/>
      <c r="I25" s="6"/>
      <c r="J25" s="6"/>
      <c r="K25" s="45" t="n">
        <f aca="false">SUM(K26:K31)</f>
        <v>85.50995</v>
      </c>
      <c r="L25" s="46" t="n">
        <f aca="false">SUMIF(E26:E31,"人工",K26:K31)</f>
        <v>7.4</v>
      </c>
      <c r="M25" s="46" t="n">
        <f aca="false">SUMIF(E26:E31,"材料",K26:K31)</f>
        <v>75.45</v>
      </c>
      <c r="N25" s="46" t="n">
        <f aca="false">SUMIF(E26:E31,"机械",K26:K31)+SUMIF(E26:E31,"外委",K26:K31)</f>
        <v>2.65995</v>
      </c>
      <c r="O25" s="47" t="s">
        <v>342</v>
      </c>
      <c r="P25" s="45" t="n">
        <f aca="false">K25</f>
        <v>85.50995</v>
      </c>
    </row>
    <row r="26" customFormat="false" ht="18" hidden="false" customHeight="true" outlineLevel="0" collapsed="false">
      <c r="A26" s="15" t="s">
        <v>343</v>
      </c>
      <c r="B26" s="15" t="s">
        <v>73</v>
      </c>
      <c r="C26" s="7" t="s">
        <v>74</v>
      </c>
      <c r="D26" s="15" t="s">
        <v>76</v>
      </c>
      <c r="E26" s="15" t="s">
        <v>276</v>
      </c>
      <c r="F26" s="16" t="s">
        <v>288</v>
      </c>
      <c r="G26" s="7" t="s">
        <v>289</v>
      </c>
      <c r="H26" s="15" t="s">
        <v>285</v>
      </c>
      <c r="I26" s="48" t="n">
        <v>0.02</v>
      </c>
      <c r="J26" s="8" t="n">
        <f aca="false">IFERROR(VLOOKUP(F26,工料机价格!$A$4:$F$45,6,FALSE()),0)</f>
        <v>300</v>
      </c>
      <c r="K26" s="19" t="n">
        <f aca="false">I26*J26</f>
        <v>6</v>
      </c>
      <c r="L26" s="19" t="n">
        <f aca="false">IF(E26="人工",K26,0)</f>
        <v>6</v>
      </c>
      <c r="M26" s="19" t="n">
        <f aca="false">IF(E26="材料",K26,0)</f>
        <v>0</v>
      </c>
      <c r="N26" s="19" t="n">
        <f aca="false">IF(OR(E26="机械",E26="外委"),K26,0)</f>
        <v>0</v>
      </c>
      <c r="O26" s="17" t="s">
        <v>344</v>
      </c>
      <c r="P26" s="15"/>
    </row>
    <row r="27" customFormat="false" ht="18" hidden="false" customHeight="true" outlineLevel="0" collapsed="false">
      <c r="A27" s="21" t="s">
        <v>345</v>
      </c>
      <c r="B27" s="21" t="s">
        <v>73</v>
      </c>
      <c r="C27" s="10" t="s">
        <v>74</v>
      </c>
      <c r="D27" s="21" t="s">
        <v>76</v>
      </c>
      <c r="E27" s="21" t="s">
        <v>276</v>
      </c>
      <c r="F27" s="22" t="s">
        <v>283</v>
      </c>
      <c r="G27" s="10" t="s">
        <v>284</v>
      </c>
      <c r="H27" s="21" t="s">
        <v>285</v>
      </c>
      <c r="I27" s="48" t="n">
        <v>0.004</v>
      </c>
      <c r="J27" s="8" t="n">
        <f aca="false">IFERROR(VLOOKUP(F27,工料机价格!$A$4:$F$45,6,FALSE()),0)</f>
        <v>350</v>
      </c>
      <c r="K27" s="24" t="n">
        <f aca="false">I27*J27</f>
        <v>1.4</v>
      </c>
      <c r="L27" s="24" t="n">
        <f aca="false">IF(E27="人工",K27,0)</f>
        <v>1.4</v>
      </c>
      <c r="M27" s="24" t="n">
        <f aca="false">IF(E27="材料",K27,0)</f>
        <v>0</v>
      </c>
      <c r="N27" s="24" t="n">
        <f aca="false">IF(OR(E27="机械",E27="外委"),K27,0)</f>
        <v>0</v>
      </c>
      <c r="O27" s="23" t="s">
        <v>346</v>
      </c>
      <c r="P27" s="21"/>
    </row>
    <row r="28" customFormat="false" ht="18" hidden="false" customHeight="true" outlineLevel="0" collapsed="false">
      <c r="A28" s="15" t="s">
        <v>347</v>
      </c>
      <c r="B28" s="15" t="s">
        <v>73</v>
      </c>
      <c r="C28" s="7" t="s">
        <v>74</v>
      </c>
      <c r="D28" s="15" t="s">
        <v>76</v>
      </c>
      <c r="E28" s="15" t="s">
        <v>277</v>
      </c>
      <c r="F28" s="16" t="s">
        <v>348</v>
      </c>
      <c r="G28" s="7" t="s">
        <v>349</v>
      </c>
      <c r="H28" s="15" t="s">
        <v>76</v>
      </c>
      <c r="I28" s="48" t="n">
        <v>2.1</v>
      </c>
      <c r="J28" s="8" t="n">
        <f aca="false">IFERROR(VLOOKUP(F28,工料机价格!$A$4:$F$45,6,FALSE()),0)</f>
        <v>5</v>
      </c>
      <c r="K28" s="19" t="n">
        <f aca="false">I28*J28</f>
        <v>10.5</v>
      </c>
      <c r="L28" s="19" t="n">
        <f aca="false">IF(E28="人工",K28,0)</f>
        <v>0</v>
      </c>
      <c r="M28" s="19" t="n">
        <f aca="false">IF(E28="材料",K28,0)</f>
        <v>10.5</v>
      </c>
      <c r="N28" s="19" t="n">
        <f aca="false">IF(OR(E28="机械",E28="外委"),K28,0)</f>
        <v>0</v>
      </c>
      <c r="O28" s="17" t="s">
        <v>350</v>
      </c>
      <c r="P28" s="15"/>
    </row>
    <row r="29" customFormat="false" ht="18" hidden="false" customHeight="true" outlineLevel="0" collapsed="false">
      <c r="A29" s="21" t="s">
        <v>351</v>
      </c>
      <c r="B29" s="21" t="s">
        <v>73</v>
      </c>
      <c r="C29" s="10" t="s">
        <v>74</v>
      </c>
      <c r="D29" s="21" t="s">
        <v>76</v>
      </c>
      <c r="E29" s="21" t="s">
        <v>277</v>
      </c>
      <c r="F29" s="22" t="s">
        <v>323</v>
      </c>
      <c r="G29" s="10" t="s">
        <v>324</v>
      </c>
      <c r="H29" s="21" t="s">
        <v>76</v>
      </c>
      <c r="I29" s="48" t="n">
        <v>1.1</v>
      </c>
      <c r="J29" s="8" t="n">
        <f aca="false">IFERROR(VLOOKUP(F29,工料机价格!$A$4:$F$45,6,FALSE()),0)</f>
        <v>12</v>
      </c>
      <c r="K29" s="24" t="n">
        <f aca="false">I29*J29</f>
        <v>13.2</v>
      </c>
      <c r="L29" s="24" t="n">
        <f aca="false">IF(E29="人工",K29,0)</f>
        <v>0</v>
      </c>
      <c r="M29" s="24" t="n">
        <f aca="false">IF(E29="材料",K29,0)</f>
        <v>13.2</v>
      </c>
      <c r="N29" s="24" t="n">
        <f aca="false">IF(OR(E29="机械",E29="外委"),K29,0)</f>
        <v>0</v>
      </c>
      <c r="O29" s="23" t="s">
        <v>352</v>
      </c>
      <c r="P29" s="21"/>
    </row>
    <row r="30" customFormat="false" ht="18" hidden="false" customHeight="true" outlineLevel="0" collapsed="false">
      <c r="A30" s="15" t="s">
        <v>353</v>
      </c>
      <c r="B30" s="15" t="s">
        <v>73</v>
      </c>
      <c r="C30" s="7" t="s">
        <v>74</v>
      </c>
      <c r="D30" s="15" t="s">
        <v>76</v>
      </c>
      <c r="E30" s="15" t="s">
        <v>277</v>
      </c>
      <c r="F30" s="16" t="s">
        <v>299</v>
      </c>
      <c r="G30" s="7" t="s">
        <v>300</v>
      </c>
      <c r="H30" s="15" t="s">
        <v>114</v>
      </c>
      <c r="I30" s="48" t="n">
        <v>0.15</v>
      </c>
      <c r="J30" s="8" t="n">
        <f aca="false">IFERROR(VLOOKUP(F30,工料机价格!$A$4:$F$45,6,FALSE()),0)</f>
        <v>345</v>
      </c>
      <c r="K30" s="19" t="n">
        <f aca="false">I30*J30</f>
        <v>51.75</v>
      </c>
      <c r="L30" s="19" t="n">
        <f aca="false">IF(E30="人工",K30,0)</f>
        <v>0</v>
      </c>
      <c r="M30" s="19" t="n">
        <f aca="false">IF(E30="材料",K30,0)</f>
        <v>51.75</v>
      </c>
      <c r="N30" s="19" t="n">
        <f aca="false">IF(OR(E30="机械",E30="外委"),K30,0)</f>
        <v>0</v>
      </c>
      <c r="O30" s="17" t="s">
        <v>354</v>
      </c>
      <c r="P30" s="15"/>
    </row>
    <row r="31" customFormat="false" ht="18" hidden="false" customHeight="true" outlineLevel="0" collapsed="false">
      <c r="A31" s="21" t="s">
        <v>355</v>
      </c>
      <c r="B31" s="21" t="s">
        <v>73</v>
      </c>
      <c r="C31" s="10" t="s">
        <v>74</v>
      </c>
      <c r="D31" s="21" t="s">
        <v>76</v>
      </c>
      <c r="E31" s="21" t="s">
        <v>278</v>
      </c>
      <c r="F31" s="22" t="s">
        <v>327</v>
      </c>
      <c r="G31" s="10" t="s">
        <v>328</v>
      </c>
      <c r="H31" s="21" t="s">
        <v>305</v>
      </c>
      <c r="I31" s="48" t="n">
        <v>0.0015</v>
      </c>
      <c r="J31" s="8" t="n">
        <f aca="false">IFERROR(VLOOKUP(F31,工料机价格!$A$4:$F$45,6,FALSE()),0)</f>
        <v>1773.3</v>
      </c>
      <c r="K31" s="24" t="n">
        <f aca="false">I31*J31</f>
        <v>2.65995</v>
      </c>
      <c r="L31" s="24" t="n">
        <f aca="false">IF(E31="人工",K31,0)</f>
        <v>0</v>
      </c>
      <c r="M31" s="24" t="n">
        <f aca="false">IF(E31="材料",K31,0)</f>
        <v>0</v>
      </c>
      <c r="N31" s="24" t="n">
        <f aca="false">IF(OR(E31="机械",E31="外委"),K31,0)</f>
        <v>2.65995</v>
      </c>
      <c r="O31" s="23" t="s">
        <v>356</v>
      </c>
      <c r="P31" s="21"/>
    </row>
    <row r="32" customFormat="false" ht="21.75" hidden="false" customHeight="true" outlineLevel="0" collapsed="false">
      <c r="A32" s="6" t="n">
        <v>6</v>
      </c>
      <c r="B32" s="6" t="s">
        <v>79</v>
      </c>
      <c r="C32" s="44" t="s">
        <v>80</v>
      </c>
      <c r="D32" s="6" t="s">
        <v>76</v>
      </c>
      <c r="E32" s="6" t="s">
        <v>280</v>
      </c>
      <c r="F32" s="6"/>
      <c r="G32" s="6"/>
      <c r="H32" s="6"/>
      <c r="I32" s="6"/>
      <c r="J32" s="6"/>
      <c r="K32" s="45" t="n">
        <f aca="false">SUM(K33:K37)</f>
        <v>473.6918</v>
      </c>
      <c r="L32" s="46" t="n">
        <f aca="false">SUMIF(E33:E37,"人工",K33:K37)</f>
        <v>43</v>
      </c>
      <c r="M32" s="46" t="n">
        <f aca="false">SUMIF(E33:E37,"材料",K33:K37)</f>
        <v>423.6</v>
      </c>
      <c r="N32" s="46" t="n">
        <f aca="false">SUMIF(E33:E37,"机械",K33:K37)+SUMIF(E33:E37,"外委",K33:K37)</f>
        <v>7.0918</v>
      </c>
      <c r="O32" s="47" t="s">
        <v>357</v>
      </c>
      <c r="P32" s="45" t="n">
        <f aca="false">K32</f>
        <v>473.6918</v>
      </c>
    </row>
    <row r="33" customFormat="false" ht="18" hidden="false" customHeight="true" outlineLevel="0" collapsed="false">
      <c r="A33" s="15" t="s">
        <v>358</v>
      </c>
      <c r="B33" s="15" t="s">
        <v>79</v>
      </c>
      <c r="C33" s="7" t="s">
        <v>80</v>
      </c>
      <c r="D33" s="15" t="s">
        <v>76</v>
      </c>
      <c r="E33" s="15" t="s">
        <v>276</v>
      </c>
      <c r="F33" s="16" t="s">
        <v>288</v>
      </c>
      <c r="G33" s="7" t="s">
        <v>289</v>
      </c>
      <c r="H33" s="15" t="s">
        <v>285</v>
      </c>
      <c r="I33" s="48" t="n">
        <v>0.12</v>
      </c>
      <c r="J33" s="8" t="n">
        <f aca="false">IFERROR(VLOOKUP(F33,工料机价格!$A$4:$F$45,6,FALSE()),0)</f>
        <v>300</v>
      </c>
      <c r="K33" s="19" t="n">
        <f aca="false">I33*J33</f>
        <v>36</v>
      </c>
      <c r="L33" s="19" t="n">
        <f aca="false">IF(E33="人工",K33,0)</f>
        <v>36</v>
      </c>
      <c r="M33" s="19" t="n">
        <f aca="false">IF(E33="材料",K33,0)</f>
        <v>0</v>
      </c>
      <c r="N33" s="19" t="n">
        <f aca="false">IF(OR(E33="机械",E33="外委"),K33,0)</f>
        <v>0</v>
      </c>
      <c r="O33" s="17" t="s">
        <v>332</v>
      </c>
      <c r="P33" s="15"/>
    </row>
    <row r="34" customFormat="false" ht="18" hidden="false" customHeight="true" outlineLevel="0" collapsed="false">
      <c r="A34" s="21" t="s">
        <v>359</v>
      </c>
      <c r="B34" s="21" t="s">
        <v>79</v>
      </c>
      <c r="C34" s="10" t="s">
        <v>80</v>
      </c>
      <c r="D34" s="21" t="s">
        <v>76</v>
      </c>
      <c r="E34" s="21" t="s">
        <v>276</v>
      </c>
      <c r="F34" s="22" t="s">
        <v>283</v>
      </c>
      <c r="G34" s="10" t="s">
        <v>284</v>
      </c>
      <c r="H34" s="21" t="s">
        <v>285</v>
      </c>
      <c r="I34" s="48" t="n">
        <v>0.02</v>
      </c>
      <c r="J34" s="8" t="n">
        <f aca="false">IFERROR(VLOOKUP(F34,工料机价格!$A$4:$F$45,6,FALSE()),0)</f>
        <v>350</v>
      </c>
      <c r="K34" s="24" t="n">
        <f aca="false">I34*J34</f>
        <v>7</v>
      </c>
      <c r="L34" s="24" t="n">
        <f aca="false">IF(E34="人工",K34,0)</f>
        <v>7</v>
      </c>
      <c r="M34" s="24" t="n">
        <f aca="false">IF(E34="材料",K34,0)</f>
        <v>0</v>
      </c>
      <c r="N34" s="24" t="n">
        <f aca="false">IF(OR(E34="机械",E34="外委"),K34,0)</f>
        <v>0</v>
      </c>
      <c r="O34" s="23" t="s">
        <v>360</v>
      </c>
      <c r="P34" s="21"/>
    </row>
    <row r="35" customFormat="false" ht="18" hidden="false" customHeight="true" outlineLevel="0" collapsed="false">
      <c r="A35" s="15" t="s">
        <v>361</v>
      </c>
      <c r="B35" s="15" t="s">
        <v>79</v>
      </c>
      <c r="C35" s="7" t="s">
        <v>80</v>
      </c>
      <c r="D35" s="15" t="s">
        <v>76</v>
      </c>
      <c r="E35" s="15" t="s">
        <v>277</v>
      </c>
      <c r="F35" s="16" t="s">
        <v>362</v>
      </c>
      <c r="G35" s="7" t="s">
        <v>363</v>
      </c>
      <c r="H35" s="15" t="s">
        <v>76</v>
      </c>
      <c r="I35" s="48" t="n">
        <v>2.2</v>
      </c>
      <c r="J35" s="8" t="n">
        <f aca="false">IFERROR(VLOOKUP(F35,工料机价格!$A$4:$F$45,6,FALSE()),0)</f>
        <v>180</v>
      </c>
      <c r="K35" s="19" t="n">
        <f aca="false">I35*J35</f>
        <v>396</v>
      </c>
      <c r="L35" s="19" t="n">
        <f aca="false">IF(E35="人工",K35,0)</f>
        <v>0</v>
      </c>
      <c r="M35" s="19" t="n">
        <f aca="false">IF(E35="材料",K35,0)</f>
        <v>396</v>
      </c>
      <c r="N35" s="19" t="n">
        <f aca="false">IF(OR(E35="机械",E35="外委"),K35,0)</f>
        <v>0</v>
      </c>
      <c r="O35" s="17" t="s">
        <v>364</v>
      </c>
      <c r="P35" s="15"/>
    </row>
    <row r="36" customFormat="false" ht="18" hidden="false" customHeight="true" outlineLevel="0" collapsed="false">
      <c r="A36" s="21" t="s">
        <v>365</v>
      </c>
      <c r="B36" s="21" t="s">
        <v>79</v>
      </c>
      <c r="C36" s="10" t="s">
        <v>80</v>
      </c>
      <c r="D36" s="21" t="s">
        <v>76</v>
      </c>
      <c r="E36" s="21" t="s">
        <v>277</v>
      </c>
      <c r="F36" s="22" t="s">
        <v>299</v>
      </c>
      <c r="G36" s="10" t="s">
        <v>300</v>
      </c>
      <c r="H36" s="21" t="s">
        <v>114</v>
      </c>
      <c r="I36" s="48" t="n">
        <v>0.08</v>
      </c>
      <c r="J36" s="8" t="n">
        <f aca="false">IFERROR(VLOOKUP(F36,工料机价格!$A$4:$F$45,6,FALSE()),0)</f>
        <v>345</v>
      </c>
      <c r="K36" s="24" t="n">
        <f aca="false">I36*J36</f>
        <v>27.6</v>
      </c>
      <c r="L36" s="24" t="n">
        <f aca="false">IF(E36="人工",K36,0)</f>
        <v>0</v>
      </c>
      <c r="M36" s="24" t="n">
        <f aca="false">IF(E36="材料",K36,0)</f>
        <v>27.6</v>
      </c>
      <c r="N36" s="24" t="n">
        <f aca="false">IF(OR(E36="机械",E36="外委"),K36,0)</f>
        <v>0</v>
      </c>
      <c r="O36" s="23" t="s">
        <v>366</v>
      </c>
      <c r="P36" s="21"/>
    </row>
    <row r="37" customFormat="false" ht="18" hidden="false" customHeight="true" outlineLevel="0" collapsed="false">
      <c r="A37" s="15" t="s">
        <v>367</v>
      </c>
      <c r="B37" s="15" t="s">
        <v>79</v>
      </c>
      <c r="C37" s="7" t="s">
        <v>80</v>
      </c>
      <c r="D37" s="15" t="s">
        <v>76</v>
      </c>
      <c r="E37" s="15" t="s">
        <v>278</v>
      </c>
      <c r="F37" s="16" t="s">
        <v>340</v>
      </c>
      <c r="G37" s="7" t="s">
        <v>341</v>
      </c>
      <c r="H37" s="15" t="s">
        <v>305</v>
      </c>
      <c r="I37" s="48" t="n">
        <v>0.004</v>
      </c>
      <c r="J37" s="8" t="n">
        <f aca="false">IFERROR(VLOOKUP(F37,工料机价格!$A$4:$F$45,6,FALSE()),0)</f>
        <v>1772.95</v>
      </c>
      <c r="K37" s="19" t="n">
        <f aca="false">I37*J37</f>
        <v>7.0918</v>
      </c>
      <c r="L37" s="19" t="n">
        <f aca="false">IF(E37="人工",K37,0)</f>
        <v>0</v>
      </c>
      <c r="M37" s="19" t="n">
        <f aca="false">IF(E37="材料",K37,0)</f>
        <v>0</v>
      </c>
      <c r="N37" s="19" t="n">
        <f aca="false">IF(OR(E37="机械",E37="外委"),K37,0)</f>
        <v>7.0918</v>
      </c>
      <c r="O37" s="17" t="s">
        <v>368</v>
      </c>
      <c r="P37" s="15"/>
    </row>
    <row r="38" customFormat="false" ht="21.75" hidden="false" customHeight="true" outlineLevel="0" collapsed="false">
      <c r="A38" s="6" t="n">
        <v>7</v>
      </c>
      <c r="B38" s="6" t="s">
        <v>111</v>
      </c>
      <c r="C38" s="44" t="s">
        <v>112</v>
      </c>
      <c r="D38" s="6" t="s">
        <v>114</v>
      </c>
      <c r="E38" s="6" t="s">
        <v>280</v>
      </c>
      <c r="F38" s="6"/>
      <c r="G38" s="6"/>
      <c r="H38" s="6"/>
      <c r="I38" s="6"/>
      <c r="J38" s="6"/>
      <c r="K38" s="45" t="n">
        <f aca="false">SUM(K39:K41)</f>
        <v>24.53829</v>
      </c>
      <c r="L38" s="46" t="n">
        <f aca="false">SUMIF(E39:E41,"人工",K39:K41)</f>
        <v>3</v>
      </c>
      <c r="M38" s="46" t="n">
        <f aca="false">SUMIF(E39:E41,"材料",K39:K41)</f>
        <v>0</v>
      </c>
      <c r="N38" s="46" t="n">
        <f aca="false">SUMIF(E39:E41,"机械",K39:K41)+SUMIF(E39:E41,"外委",K39:K41)</f>
        <v>21.53829</v>
      </c>
      <c r="O38" s="47" t="s">
        <v>369</v>
      </c>
      <c r="P38" s="45" t="n">
        <f aca="false">K38</f>
        <v>24.53829</v>
      </c>
    </row>
    <row r="39" customFormat="false" ht="18" hidden="false" customHeight="true" outlineLevel="0" collapsed="false">
      <c r="A39" s="15" t="s">
        <v>370</v>
      </c>
      <c r="B39" s="15" t="s">
        <v>111</v>
      </c>
      <c r="C39" s="7" t="s">
        <v>112</v>
      </c>
      <c r="D39" s="15" t="s">
        <v>114</v>
      </c>
      <c r="E39" s="15" t="s">
        <v>278</v>
      </c>
      <c r="F39" s="16" t="s">
        <v>327</v>
      </c>
      <c r="G39" s="7" t="s">
        <v>328</v>
      </c>
      <c r="H39" s="15" t="s">
        <v>305</v>
      </c>
      <c r="I39" s="48" t="n">
        <v>0.0083</v>
      </c>
      <c r="J39" s="8" t="n">
        <f aca="false">IFERROR(VLOOKUP(F39,工料机价格!$A$4:$F$45,6,FALSE()),0)</f>
        <v>1773.3</v>
      </c>
      <c r="K39" s="19" t="n">
        <f aca="false">I39*J39</f>
        <v>14.71839</v>
      </c>
      <c r="L39" s="19" t="n">
        <f aca="false">IF(E39="人工",K39,0)</f>
        <v>0</v>
      </c>
      <c r="M39" s="19" t="n">
        <f aca="false">IF(E39="材料",K39,0)</f>
        <v>0</v>
      </c>
      <c r="N39" s="19" t="n">
        <f aca="false">IF(OR(E39="机械",E39="外委"),K39,0)</f>
        <v>14.71839</v>
      </c>
      <c r="O39" s="17" t="s">
        <v>371</v>
      </c>
      <c r="P39" s="15"/>
    </row>
    <row r="40" customFormat="false" ht="18" hidden="false" customHeight="true" outlineLevel="0" collapsed="false">
      <c r="A40" s="21" t="s">
        <v>372</v>
      </c>
      <c r="B40" s="21" t="s">
        <v>111</v>
      </c>
      <c r="C40" s="10" t="s">
        <v>112</v>
      </c>
      <c r="D40" s="21" t="s">
        <v>114</v>
      </c>
      <c r="E40" s="21" t="s">
        <v>278</v>
      </c>
      <c r="F40" s="22" t="s">
        <v>373</v>
      </c>
      <c r="G40" s="10" t="s">
        <v>374</v>
      </c>
      <c r="H40" s="21" t="s">
        <v>305</v>
      </c>
      <c r="I40" s="48" t="n">
        <v>0.006</v>
      </c>
      <c r="J40" s="8" t="n">
        <f aca="false">IFERROR(VLOOKUP(F40,工料机价格!$A$4:$F$45,6,FALSE()),0)</f>
        <v>1136.65</v>
      </c>
      <c r="K40" s="24" t="n">
        <f aca="false">I40*J40</f>
        <v>6.8199</v>
      </c>
      <c r="L40" s="24" t="n">
        <f aca="false">IF(E40="人工",K40,0)</f>
        <v>0</v>
      </c>
      <c r="M40" s="24" t="n">
        <f aca="false">IF(E40="材料",K40,0)</f>
        <v>0</v>
      </c>
      <c r="N40" s="24" t="n">
        <f aca="false">IF(OR(E40="机械",E40="外委"),K40,0)</f>
        <v>6.8199</v>
      </c>
      <c r="O40" s="23" t="s">
        <v>375</v>
      </c>
      <c r="P40" s="21"/>
    </row>
    <row r="41" customFormat="false" ht="18" hidden="false" customHeight="true" outlineLevel="0" collapsed="false">
      <c r="A41" s="15" t="s">
        <v>376</v>
      </c>
      <c r="B41" s="15" t="s">
        <v>111</v>
      </c>
      <c r="C41" s="7" t="s">
        <v>112</v>
      </c>
      <c r="D41" s="15" t="s">
        <v>114</v>
      </c>
      <c r="E41" s="15" t="s">
        <v>276</v>
      </c>
      <c r="F41" s="16" t="s">
        <v>288</v>
      </c>
      <c r="G41" s="7" t="s">
        <v>289</v>
      </c>
      <c r="H41" s="15" t="s">
        <v>285</v>
      </c>
      <c r="I41" s="48" t="n">
        <v>0.01</v>
      </c>
      <c r="J41" s="8" t="n">
        <f aca="false">IFERROR(VLOOKUP(F41,工料机价格!$A$4:$F$45,6,FALSE()),0)</f>
        <v>300</v>
      </c>
      <c r="K41" s="19" t="n">
        <f aca="false">I41*J41</f>
        <v>3</v>
      </c>
      <c r="L41" s="19" t="n">
        <f aca="false">IF(E41="人工",K41,0)</f>
        <v>3</v>
      </c>
      <c r="M41" s="19" t="n">
        <f aca="false">IF(E41="材料",K41,0)</f>
        <v>0</v>
      </c>
      <c r="N41" s="19" t="n">
        <f aca="false">IF(OR(E41="机械",E41="外委"),K41,0)</f>
        <v>0</v>
      </c>
      <c r="O41" s="17" t="s">
        <v>377</v>
      </c>
      <c r="P41" s="15"/>
    </row>
    <row r="42" customFormat="false" ht="21.75" hidden="false" customHeight="true" outlineLevel="0" collapsed="false">
      <c r="A42" s="6" t="n">
        <v>8</v>
      </c>
      <c r="B42" s="6" t="s">
        <v>117</v>
      </c>
      <c r="C42" s="44" t="s">
        <v>118</v>
      </c>
      <c r="D42" s="6" t="s">
        <v>114</v>
      </c>
      <c r="E42" s="6" t="s">
        <v>280</v>
      </c>
      <c r="F42" s="6"/>
      <c r="G42" s="6"/>
      <c r="H42" s="6"/>
      <c r="I42" s="6"/>
      <c r="J42" s="6"/>
      <c r="K42" s="45" t="n">
        <f aca="false">SUM(K43:K46)</f>
        <v>21.9063</v>
      </c>
      <c r="L42" s="46" t="n">
        <f aca="false">SUMIF(E43:E46,"人工",K43:K46)</f>
        <v>2.4</v>
      </c>
      <c r="M42" s="46" t="n">
        <f aca="false">SUMIF(E43:E46,"材料",K43:K46)</f>
        <v>0</v>
      </c>
      <c r="N42" s="46" t="n">
        <f aca="false">SUMIF(E43:E46,"机械",K43:K46)+SUMIF(E43:E46,"外委",K43:K46)</f>
        <v>19.5063</v>
      </c>
      <c r="O42" s="47" t="s">
        <v>378</v>
      </c>
      <c r="P42" s="45" t="n">
        <f aca="false">K42</f>
        <v>21.9063</v>
      </c>
    </row>
    <row r="43" customFormat="false" ht="18" hidden="false" customHeight="true" outlineLevel="0" collapsed="false">
      <c r="A43" s="15" t="s">
        <v>379</v>
      </c>
      <c r="B43" s="15" t="s">
        <v>117</v>
      </c>
      <c r="C43" s="7" t="s">
        <v>118</v>
      </c>
      <c r="D43" s="15" t="s">
        <v>114</v>
      </c>
      <c r="E43" s="15" t="s">
        <v>278</v>
      </c>
      <c r="F43" s="16" t="s">
        <v>327</v>
      </c>
      <c r="G43" s="7" t="s">
        <v>328</v>
      </c>
      <c r="H43" s="15" t="s">
        <v>305</v>
      </c>
      <c r="I43" s="48" t="n">
        <v>0.006</v>
      </c>
      <c r="J43" s="8" t="n">
        <f aca="false">IFERROR(VLOOKUP(F43,工料机价格!$A$4:$F$45,6,FALSE()),0)</f>
        <v>1773.3</v>
      </c>
      <c r="K43" s="19" t="n">
        <f aca="false">I43*J43</f>
        <v>10.6398</v>
      </c>
      <c r="L43" s="19" t="n">
        <f aca="false">IF(E43="人工",K43,0)</f>
        <v>0</v>
      </c>
      <c r="M43" s="19" t="n">
        <f aca="false">IF(E43="材料",K43,0)</f>
        <v>0</v>
      </c>
      <c r="N43" s="19" t="n">
        <f aca="false">IF(OR(E43="机械",E43="外委"),K43,0)</f>
        <v>10.6398</v>
      </c>
      <c r="O43" s="17" t="s">
        <v>380</v>
      </c>
      <c r="P43" s="15"/>
    </row>
    <row r="44" customFormat="false" ht="18" hidden="false" customHeight="true" outlineLevel="0" collapsed="false">
      <c r="A44" s="21" t="s">
        <v>381</v>
      </c>
      <c r="B44" s="21" t="s">
        <v>117</v>
      </c>
      <c r="C44" s="10" t="s">
        <v>118</v>
      </c>
      <c r="D44" s="21" t="s">
        <v>114</v>
      </c>
      <c r="E44" s="21" t="s">
        <v>278</v>
      </c>
      <c r="F44" s="22" t="s">
        <v>382</v>
      </c>
      <c r="G44" s="10" t="s">
        <v>383</v>
      </c>
      <c r="H44" s="21" t="s">
        <v>305</v>
      </c>
      <c r="I44" s="48" t="n">
        <v>0.006</v>
      </c>
      <c r="J44" s="8" t="n">
        <f aca="false">IFERROR(VLOOKUP(F44,工料机价格!$A$4:$F$45,6,FALSE()),0)</f>
        <v>754.8</v>
      </c>
      <c r="K44" s="24" t="n">
        <f aca="false">I44*J44</f>
        <v>4.5288</v>
      </c>
      <c r="L44" s="24" t="n">
        <f aca="false">IF(E44="人工",K44,0)</f>
        <v>0</v>
      </c>
      <c r="M44" s="24" t="n">
        <f aca="false">IF(E44="材料",K44,0)</f>
        <v>0</v>
      </c>
      <c r="N44" s="24" t="n">
        <f aca="false">IF(OR(E44="机械",E44="外委"),K44,0)</f>
        <v>4.5288</v>
      </c>
      <c r="O44" s="23" t="s">
        <v>384</v>
      </c>
      <c r="P44" s="21"/>
    </row>
    <row r="45" customFormat="false" ht="18" hidden="false" customHeight="true" outlineLevel="0" collapsed="false">
      <c r="A45" s="15" t="s">
        <v>385</v>
      </c>
      <c r="B45" s="15" t="s">
        <v>117</v>
      </c>
      <c r="C45" s="7" t="s">
        <v>118</v>
      </c>
      <c r="D45" s="15" t="s">
        <v>114</v>
      </c>
      <c r="E45" s="15" t="s">
        <v>278</v>
      </c>
      <c r="F45" s="16" t="s">
        <v>303</v>
      </c>
      <c r="G45" s="7" t="s">
        <v>304</v>
      </c>
      <c r="H45" s="15" t="s">
        <v>305</v>
      </c>
      <c r="I45" s="48" t="n">
        <v>0.003</v>
      </c>
      <c r="J45" s="8" t="n">
        <f aca="false">IFERROR(VLOOKUP(F45,工料机价格!$A$4:$F$45,6,FALSE()),0)</f>
        <v>1445.9</v>
      </c>
      <c r="K45" s="19" t="n">
        <f aca="false">I45*J45</f>
        <v>4.3377</v>
      </c>
      <c r="L45" s="19" t="n">
        <f aca="false">IF(E45="人工",K45,0)</f>
        <v>0</v>
      </c>
      <c r="M45" s="19" t="n">
        <f aca="false">IF(E45="材料",K45,0)</f>
        <v>0</v>
      </c>
      <c r="N45" s="19" t="n">
        <f aca="false">IF(OR(E45="机械",E45="外委"),K45,0)</f>
        <v>4.3377</v>
      </c>
      <c r="O45" s="17" t="s">
        <v>386</v>
      </c>
      <c r="P45" s="15"/>
    </row>
    <row r="46" customFormat="false" ht="18" hidden="false" customHeight="true" outlineLevel="0" collapsed="false">
      <c r="A46" s="21" t="s">
        <v>387</v>
      </c>
      <c r="B46" s="21" t="s">
        <v>117</v>
      </c>
      <c r="C46" s="10" t="s">
        <v>118</v>
      </c>
      <c r="D46" s="21" t="s">
        <v>114</v>
      </c>
      <c r="E46" s="21" t="s">
        <v>276</v>
      </c>
      <c r="F46" s="22" t="s">
        <v>288</v>
      </c>
      <c r="G46" s="10" t="s">
        <v>289</v>
      </c>
      <c r="H46" s="21" t="s">
        <v>285</v>
      </c>
      <c r="I46" s="48" t="n">
        <v>0.008</v>
      </c>
      <c r="J46" s="8" t="n">
        <f aca="false">IFERROR(VLOOKUP(F46,工料机价格!$A$4:$F$45,6,FALSE()),0)</f>
        <v>300</v>
      </c>
      <c r="K46" s="24" t="n">
        <f aca="false">I46*J46</f>
        <v>2.4</v>
      </c>
      <c r="L46" s="24" t="n">
        <f aca="false">IF(E46="人工",K46,0)</f>
        <v>2.4</v>
      </c>
      <c r="M46" s="24" t="n">
        <f aca="false">IF(E46="材料",K46,0)</f>
        <v>0</v>
      </c>
      <c r="N46" s="24" t="n">
        <f aca="false">IF(OR(E46="机械",E46="外委"),K46,0)</f>
        <v>0</v>
      </c>
      <c r="O46" s="23" t="s">
        <v>388</v>
      </c>
      <c r="P46" s="21"/>
    </row>
    <row r="47" customFormat="false" ht="21.75" hidden="false" customHeight="true" outlineLevel="0" collapsed="false">
      <c r="A47" s="6" t="n">
        <v>9</v>
      </c>
      <c r="B47" s="6" t="s">
        <v>123</v>
      </c>
      <c r="C47" s="44" t="s">
        <v>124</v>
      </c>
      <c r="D47" s="6" t="s">
        <v>114</v>
      </c>
      <c r="E47" s="6" t="s">
        <v>280</v>
      </c>
      <c r="F47" s="6"/>
      <c r="G47" s="6"/>
      <c r="H47" s="6"/>
      <c r="I47" s="6"/>
      <c r="J47" s="6"/>
      <c r="K47" s="45" t="n">
        <f aca="false">SUM(K48:K51)</f>
        <v>17.2428</v>
      </c>
      <c r="L47" s="46" t="n">
        <f aca="false">SUMIF(E48:E51,"人工",K48:K51)</f>
        <v>6</v>
      </c>
      <c r="M47" s="46" t="n">
        <f aca="false">SUMIF(E48:E51,"材料",K48:K51)</f>
        <v>0.44</v>
      </c>
      <c r="N47" s="46" t="n">
        <f aca="false">SUMIF(E48:E51,"机械",K48:K51)+SUMIF(E48:E51,"外委",K48:K51)</f>
        <v>10.8028</v>
      </c>
      <c r="O47" s="47" t="s">
        <v>389</v>
      </c>
      <c r="P47" s="45" t="n">
        <f aca="false">K47</f>
        <v>17.2428</v>
      </c>
    </row>
    <row r="48" customFormat="false" ht="18" hidden="false" customHeight="true" outlineLevel="0" collapsed="false">
      <c r="A48" s="15" t="s">
        <v>390</v>
      </c>
      <c r="B48" s="15" t="s">
        <v>123</v>
      </c>
      <c r="C48" s="7" t="s">
        <v>124</v>
      </c>
      <c r="D48" s="15" t="s">
        <v>114</v>
      </c>
      <c r="E48" s="15" t="s">
        <v>278</v>
      </c>
      <c r="F48" s="16" t="s">
        <v>391</v>
      </c>
      <c r="G48" s="7" t="s">
        <v>392</v>
      </c>
      <c r="H48" s="15" t="s">
        <v>305</v>
      </c>
      <c r="I48" s="48" t="n">
        <v>0.008</v>
      </c>
      <c r="J48" s="8" t="n">
        <f aca="false">IFERROR(VLOOKUP(F48,工料机价格!$A$4:$F$45,6,FALSE()),0)</f>
        <v>627.4</v>
      </c>
      <c r="K48" s="19" t="n">
        <f aca="false">I48*J48</f>
        <v>5.0192</v>
      </c>
      <c r="L48" s="19" t="n">
        <f aca="false">IF(E48="人工",K48,0)</f>
        <v>0</v>
      </c>
      <c r="M48" s="19" t="n">
        <f aca="false">IF(E48="材料",K48,0)</f>
        <v>0</v>
      </c>
      <c r="N48" s="19" t="n">
        <f aca="false">IF(OR(E48="机械",E48="外委"),K48,0)</f>
        <v>5.0192</v>
      </c>
      <c r="O48" s="17" t="s">
        <v>393</v>
      </c>
      <c r="P48" s="15"/>
    </row>
    <row r="49" customFormat="false" ht="18" hidden="false" customHeight="true" outlineLevel="0" collapsed="false">
      <c r="A49" s="21" t="s">
        <v>394</v>
      </c>
      <c r="B49" s="21" t="s">
        <v>123</v>
      </c>
      <c r="C49" s="10" t="s">
        <v>124</v>
      </c>
      <c r="D49" s="21" t="s">
        <v>114</v>
      </c>
      <c r="E49" s="21" t="s">
        <v>278</v>
      </c>
      <c r="F49" s="22" t="s">
        <v>303</v>
      </c>
      <c r="G49" s="10" t="s">
        <v>304</v>
      </c>
      <c r="H49" s="21" t="s">
        <v>305</v>
      </c>
      <c r="I49" s="48" t="n">
        <v>0.004</v>
      </c>
      <c r="J49" s="8" t="n">
        <f aca="false">IFERROR(VLOOKUP(F49,工料机价格!$A$4:$F$45,6,FALSE()),0)</f>
        <v>1445.9</v>
      </c>
      <c r="K49" s="24" t="n">
        <f aca="false">I49*J49</f>
        <v>5.7836</v>
      </c>
      <c r="L49" s="24" t="n">
        <f aca="false">IF(E49="人工",K49,0)</f>
        <v>0</v>
      </c>
      <c r="M49" s="24" t="n">
        <f aca="false">IF(E49="材料",K49,0)</f>
        <v>0</v>
      </c>
      <c r="N49" s="24" t="n">
        <f aca="false">IF(OR(E49="机械",E49="外委"),K49,0)</f>
        <v>5.7836</v>
      </c>
      <c r="O49" s="23" t="s">
        <v>395</v>
      </c>
      <c r="P49" s="21"/>
    </row>
    <row r="50" customFormat="false" ht="18" hidden="false" customHeight="true" outlineLevel="0" collapsed="false">
      <c r="A50" s="15" t="s">
        <v>396</v>
      </c>
      <c r="B50" s="15" t="s">
        <v>123</v>
      </c>
      <c r="C50" s="7" t="s">
        <v>124</v>
      </c>
      <c r="D50" s="15" t="s">
        <v>114</v>
      </c>
      <c r="E50" s="15" t="s">
        <v>277</v>
      </c>
      <c r="F50" s="16" t="s">
        <v>397</v>
      </c>
      <c r="G50" s="7" t="s">
        <v>398</v>
      </c>
      <c r="H50" s="15" t="s">
        <v>136</v>
      </c>
      <c r="I50" s="48" t="n">
        <v>0.0004</v>
      </c>
      <c r="J50" s="8" t="n">
        <f aca="false">IFERROR(VLOOKUP(F50,工料机价格!$A$4:$F$45,6,FALSE()),0)</f>
        <v>1100</v>
      </c>
      <c r="K50" s="19" t="n">
        <f aca="false">I50*J50</f>
        <v>0.44</v>
      </c>
      <c r="L50" s="19" t="n">
        <f aca="false">IF(E50="人工",K50,0)</f>
        <v>0</v>
      </c>
      <c r="M50" s="19" t="n">
        <f aca="false">IF(E50="材料",K50,0)</f>
        <v>0.44</v>
      </c>
      <c r="N50" s="19" t="n">
        <f aca="false">IF(OR(E50="机械",E50="外委"),K50,0)</f>
        <v>0</v>
      </c>
      <c r="O50" s="17" t="s">
        <v>399</v>
      </c>
      <c r="P50" s="15"/>
    </row>
    <row r="51" customFormat="false" ht="18" hidden="false" customHeight="true" outlineLevel="0" collapsed="false">
      <c r="A51" s="21" t="s">
        <v>400</v>
      </c>
      <c r="B51" s="21" t="s">
        <v>123</v>
      </c>
      <c r="C51" s="10" t="s">
        <v>124</v>
      </c>
      <c r="D51" s="21" t="s">
        <v>114</v>
      </c>
      <c r="E51" s="21" t="s">
        <v>276</v>
      </c>
      <c r="F51" s="22" t="s">
        <v>288</v>
      </c>
      <c r="G51" s="10" t="s">
        <v>289</v>
      </c>
      <c r="H51" s="21" t="s">
        <v>285</v>
      </c>
      <c r="I51" s="48" t="n">
        <v>0.02</v>
      </c>
      <c r="J51" s="8" t="n">
        <f aca="false">IFERROR(VLOOKUP(F51,工料机价格!$A$4:$F$45,6,FALSE()),0)</f>
        <v>300</v>
      </c>
      <c r="K51" s="24" t="n">
        <f aca="false">I51*J51</f>
        <v>6</v>
      </c>
      <c r="L51" s="24" t="n">
        <f aca="false">IF(E51="人工",K51,0)</f>
        <v>6</v>
      </c>
      <c r="M51" s="24" t="n">
        <f aca="false">IF(E51="材料",K51,0)</f>
        <v>0</v>
      </c>
      <c r="N51" s="24" t="n">
        <f aca="false">IF(OR(E51="机械",E51="外委"),K51,0)</f>
        <v>0</v>
      </c>
      <c r="O51" s="23" t="s">
        <v>401</v>
      </c>
      <c r="P51" s="21"/>
    </row>
    <row r="52" customFormat="false" ht="21.75" hidden="false" customHeight="true" outlineLevel="0" collapsed="false">
      <c r="A52" s="6" t="n">
        <v>10</v>
      </c>
      <c r="B52" s="6" t="s">
        <v>164</v>
      </c>
      <c r="C52" s="44" t="s">
        <v>165</v>
      </c>
      <c r="D52" s="6" t="s">
        <v>114</v>
      </c>
      <c r="E52" s="6" t="s">
        <v>280</v>
      </c>
      <c r="F52" s="6"/>
      <c r="G52" s="6"/>
      <c r="H52" s="6"/>
      <c r="I52" s="6"/>
      <c r="J52" s="6"/>
      <c r="K52" s="45" t="n">
        <f aca="false">SUM(K53:K56)</f>
        <v>4.787</v>
      </c>
      <c r="L52" s="46" t="n">
        <f aca="false">SUMIF(E53:E56,"人工",K53:K56)</f>
        <v>3</v>
      </c>
      <c r="M52" s="46" t="n">
        <f aca="false">SUMIF(E53:E56,"材料",K53:K56)</f>
        <v>0.186</v>
      </c>
      <c r="N52" s="46" t="n">
        <f aca="false">SUMIF(E53:E56,"机械",K53:K56)+SUMIF(E53:E56,"外委",K53:K56)</f>
        <v>1.601</v>
      </c>
      <c r="O52" s="47" t="s">
        <v>402</v>
      </c>
      <c r="P52" s="45" t="n">
        <f aca="false">K52</f>
        <v>4.787</v>
      </c>
    </row>
    <row r="53" customFormat="false" ht="18" hidden="false" customHeight="true" outlineLevel="0" collapsed="false">
      <c r="A53" s="15" t="s">
        <v>403</v>
      </c>
      <c r="B53" s="15" t="s">
        <v>164</v>
      </c>
      <c r="C53" s="7" t="s">
        <v>165</v>
      </c>
      <c r="D53" s="15" t="s">
        <v>114</v>
      </c>
      <c r="E53" s="15" t="s">
        <v>277</v>
      </c>
      <c r="F53" s="16" t="s">
        <v>397</v>
      </c>
      <c r="G53" s="7" t="s">
        <v>398</v>
      </c>
      <c r="H53" s="15" t="s">
        <v>136</v>
      </c>
      <c r="I53" s="48" t="n">
        <v>0.00015</v>
      </c>
      <c r="J53" s="8" t="n">
        <f aca="false">IFERROR(VLOOKUP(F53,工料机价格!$A$4:$F$45,6,FALSE()),0)</f>
        <v>1100</v>
      </c>
      <c r="K53" s="19" t="n">
        <f aca="false">I53*J53</f>
        <v>0.165</v>
      </c>
      <c r="L53" s="19" t="n">
        <f aca="false">IF(E53="人工",K53,0)</f>
        <v>0</v>
      </c>
      <c r="M53" s="19" t="n">
        <f aca="false">IF(E53="材料",K53,0)</f>
        <v>0.165</v>
      </c>
      <c r="N53" s="19" t="n">
        <f aca="false">IF(OR(E53="机械",E53="外委"),K53,0)</f>
        <v>0</v>
      </c>
      <c r="O53" s="17" t="s">
        <v>404</v>
      </c>
      <c r="P53" s="15"/>
    </row>
    <row r="54" customFormat="false" ht="18" hidden="false" customHeight="true" outlineLevel="0" collapsed="false">
      <c r="A54" s="21" t="s">
        <v>405</v>
      </c>
      <c r="B54" s="21" t="s">
        <v>164</v>
      </c>
      <c r="C54" s="10" t="s">
        <v>165</v>
      </c>
      <c r="D54" s="21" t="s">
        <v>114</v>
      </c>
      <c r="E54" s="21" t="s">
        <v>277</v>
      </c>
      <c r="F54" s="22" t="s">
        <v>406</v>
      </c>
      <c r="G54" s="10" t="s">
        <v>407</v>
      </c>
      <c r="H54" s="21" t="s">
        <v>136</v>
      </c>
      <c r="I54" s="48" t="n">
        <v>3E-006</v>
      </c>
      <c r="J54" s="8" t="n">
        <f aca="false">IFERROR(VLOOKUP(F54,工料机价格!$A$4:$F$45,6,FALSE()),0)</f>
        <v>7000</v>
      </c>
      <c r="K54" s="24" t="n">
        <f aca="false">I54*J54</f>
        <v>0.021</v>
      </c>
      <c r="L54" s="24" t="n">
        <f aca="false">IF(E54="人工",K54,0)</f>
        <v>0</v>
      </c>
      <c r="M54" s="24" t="n">
        <f aca="false">IF(E54="材料",K54,0)</f>
        <v>0.021</v>
      </c>
      <c r="N54" s="24" t="n">
        <f aca="false">IF(OR(E54="机械",E54="外委"),K54,0)</f>
        <v>0</v>
      </c>
      <c r="O54" s="23" t="s">
        <v>408</v>
      </c>
      <c r="P54" s="21"/>
    </row>
    <row r="55" customFormat="false" ht="18" hidden="false" customHeight="true" outlineLevel="0" collapsed="false">
      <c r="A55" s="15" t="s">
        <v>409</v>
      </c>
      <c r="B55" s="15" t="s">
        <v>164</v>
      </c>
      <c r="C55" s="7" t="s">
        <v>165</v>
      </c>
      <c r="D55" s="15" t="s">
        <v>114</v>
      </c>
      <c r="E55" s="15" t="s">
        <v>278</v>
      </c>
      <c r="F55" s="16" t="s">
        <v>410</v>
      </c>
      <c r="G55" s="7" t="s">
        <v>411</v>
      </c>
      <c r="H55" s="15" t="s">
        <v>305</v>
      </c>
      <c r="I55" s="48" t="n">
        <v>0.02</v>
      </c>
      <c r="J55" s="8" t="n">
        <f aca="false">IFERROR(VLOOKUP(F55,工料机价格!$A$4:$F$45,6,FALSE()),0)</f>
        <v>80.05</v>
      </c>
      <c r="K55" s="19" t="n">
        <f aca="false">I55*J55</f>
        <v>1.601</v>
      </c>
      <c r="L55" s="19" t="n">
        <f aca="false">IF(E55="人工",K55,0)</f>
        <v>0</v>
      </c>
      <c r="M55" s="19" t="n">
        <f aca="false">IF(E55="材料",K55,0)</f>
        <v>0</v>
      </c>
      <c r="N55" s="19" t="n">
        <f aca="false">IF(OR(E55="机械",E55="外委"),K55,0)</f>
        <v>1.601</v>
      </c>
      <c r="O55" s="17" t="s">
        <v>412</v>
      </c>
      <c r="P55" s="15"/>
    </row>
    <row r="56" customFormat="false" ht="18" hidden="false" customHeight="true" outlineLevel="0" collapsed="false">
      <c r="A56" s="21" t="s">
        <v>413</v>
      </c>
      <c r="B56" s="21" t="s">
        <v>164</v>
      </c>
      <c r="C56" s="10" t="s">
        <v>165</v>
      </c>
      <c r="D56" s="21" t="s">
        <v>114</v>
      </c>
      <c r="E56" s="21" t="s">
        <v>276</v>
      </c>
      <c r="F56" s="22" t="s">
        <v>288</v>
      </c>
      <c r="G56" s="10" t="s">
        <v>289</v>
      </c>
      <c r="H56" s="21" t="s">
        <v>285</v>
      </c>
      <c r="I56" s="48" t="n">
        <v>0.01</v>
      </c>
      <c r="J56" s="8" t="n">
        <f aca="false">IFERROR(VLOOKUP(F56,工料机价格!$A$4:$F$45,6,FALSE()),0)</f>
        <v>300</v>
      </c>
      <c r="K56" s="24" t="n">
        <f aca="false">I56*J56</f>
        <v>3</v>
      </c>
      <c r="L56" s="24" t="n">
        <f aca="false">IF(E56="人工",K56,0)</f>
        <v>3</v>
      </c>
      <c r="M56" s="24" t="n">
        <f aca="false">IF(E56="材料",K56,0)</f>
        <v>0</v>
      </c>
      <c r="N56" s="24" t="n">
        <f aca="false">IF(OR(E56="机械",E56="外委"),K56,0)</f>
        <v>0</v>
      </c>
      <c r="O56" s="23" t="s">
        <v>414</v>
      </c>
      <c r="P56" s="21"/>
    </row>
    <row r="57" customFormat="false" ht="21.75" hidden="false" customHeight="true" outlineLevel="0" collapsed="false">
      <c r="A57" s="6" t="n">
        <v>11</v>
      </c>
      <c r="B57" s="6" t="s">
        <v>169</v>
      </c>
      <c r="C57" s="44" t="s">
        <v>170</v>
      </c>
      <c r="D57" s="6" t="s">
        <v>114</v>
      </c>
      <c r="E57" s="6" t="s">
        <v>280</v>
      </c>
      <c r="F57" s="6"/>
      <c r="G57" s="6"/>
      <c r="H57" s="6"/>
      <c r="I57" s="6"/>
      <c r="J57" s="6"/>
      <c r="K57" s="45" t="n">
        <f aca="false">SUM(K58:K59)</f>
        <v>46.966</v>
      </c>
      <c r="L57" s="46" t="n">
        <f aca="false">SUMIF(E58:E59,"人工",K58:K59)</f>
        <v>1.5</v>
      </c>
      <c r="M57" s="46" t="n">
        <f aca="false">SUMIF(E58:E59,"材料",K58:K59)</f>
        <v>0</v>
      </c>
      <c r="N57" s="46" t="n">
        <f aca="false">SUMIF(E58:E59,"机械",K58:K59)+SUMIF(E58:E59,"外委",K58:K59)</f>
        <v>45.466</v>
      </c>
      <c r="O57" s="47" t="s">
        <v>415</v>
      </c>
      <c r="P57" s="45" t="n">
        <f aca="false">K57</f>
        <v>46.966</v>
      </c>
    </row>
    <row r="58" customFormat="false" ht="18" hidden="false" customHeight="true" outlineLevel="0" collapsed="false">
      <c r="A58" s="15" t="s">
        <v>416</v>
      </c>
      <c r="B58" s="15" t="s">
        <v>169</v>
      </c>
      <c r="C58" s="7" t="s">
        <v>170</v>
      </c>
      <c r="D58" s="15" t="s">
        <v>114</v>
      </c>
      <c r="E58" s="15" t="s">
        <v>278</v>
      </c>
      <c r="F58" s="16" t="s">
        <v>373</v>
      </c>
      <c r="G58" s="7" t="s">
        <v>374</v>
      </c>
      <c r="H58" s="15" t="s">
        <v>305</v>
      </c>
      <c r="I58" s="48" t="n">
        <v>0.04</v>
      </c>
      <c r="J58" s="8" t="n">
        <f aca="false">IFERROR(VLOOKUP(F58,工料机价格!$A$4:$F$45,6,FALSE()),0)</f>
        <v>1136.65</v>
      </c>
      <c r="K58" s="19" t="n">
        <f aca="false">I58*J58</f>
        <v>45.466</v>
      </c>
      <c r="L58" s="19" t="n">
        <f aca="false">IF(E58="人工",K58,0)</f>
        <v>0</v>
      </c>
      <c r="M58" s="19" t="n">
        <f aca="false">IF(E58="材料",K58,0)</f>
        <v>0</v>
      </c>
      <c r="N58" s="19" t="n">
        <f aca="false">IF(OR(E58="机械",E58="外委"),K58,0)</f>
        <v>45.466</v>
      </c>
      <c r="O58" s="17" t="s">
        <v>417</v>
      </c>
      <c r="P58" s="15"/>
    </row>
    <row r="59" customFormat="false" ht="18" hidden="false" customHeight="true" outlineLevel="0" collapsed="false">
      <c r="A59" s="21" t="s">
        <v>418</v>
      </c>
      <c r="B59" s="21" t="s">
        <v>169</v>
      </c>
      <c r="C59" s="10" t="s">
        <v>170</v>
      </c>
      <c r="D59" s="21" t="s">
        <v>114</v>
      </c>
      <c r="E59" s="21" t="s">
        <v>276</v>
      </c>
      <c r="F59" s="22" t="s">
        <v>288</v>
      </c>
      <c r="G59" s="10" t="s">
        <v>289</v>
      </c>
      <c r="H59" s="21" t="s">
        <v>285</v>
      </c>
      <c r="I59" s="48" t="n">
        <v>0.005</v>
      </c>
      <c r="J59" s="8" t="n">
        <f aca="false">IFERROR(VLOOKUP(F59,工料机价格!$A$4:$F$45,6,FALSE()),0)</f>
        <v>300</v>
      </c>
      <c r="K59" s="24" t="n">
        <f aca="false">I59*J59</f>
        <v>1.5</v>
      </c>
      <c r="L59" s="24" t="n">
        <f aca="false">IF(E59="人工",K59,0)</f>
        <v>1.5</v>
      </c>
      <c r="M59" s="24" t="n">
        <f aca="false">IF(E59="材料",K59,0)</f>
        <v>0</v>
      </c>
      <c r="N59" s="24" t="n">
        <f aca="false">IF(OR(E59="机械",E59="外委"),K59,0)</f>
        <v>0</v>
      </c>
      <c r="O59" s="23" t="s">
        <v>419</v>
      </c>
      <c r="P59" s="21"/>
    </row>
    <row r="60" customFormat="false" ht="21.75" hidden="false" customHeight="true" outlineLevel="0" collapsed="false">
      <c r="A60" s="6" t="n">
        <v>12</v>
      </c>
      <c r="B60" s="6" t="s">
        <v>173</v>
      </c>
      <c r="C60" s="44" t="s">
        <v>174</v>
      </c>
      <c r="D60" s="6" t="s">
        <v>114</v>
      </c>
      <c r="E60" s="6" t="s">
        <v>280</v>
      </c>
      <c r="F60" s="6"/>
      <c r="G60" s="6"/>
      <c r="H60" s="6"/>
      <c r="I60" s="6"/>
      <c r="J60" s="6"/>
      <c r="K60" s="45" t="n">
        <f aca="false">SUM(K61)</f>
        <v>75</v>
      </c>
      <c r="L60" s="46" t="n">
        <f aca="false">SUMIF(E61,"人工",K61)</f>
        <v>0</v>
      </c>
      <c r="M60" s="46" t="n">
        <f aca="false">SUMIF(E61,"材料",K61)</f>
        <v>0</v>
      </c>
      <c r="N60" s="46" t="n">
        <f aca="false">SUMIF(E61,"机械",K61)+SUMIF(E61,"外委",K61)</f>
        <v>75</v>
      </c>
      <c r="O60" s="47" t="s">
        <v>420</v>
      </c>
      <c r="P60" s="45" t="n">
        <f aca="false">K60</f>
        <v>75</v>
      </c>
    </row>
    <row r="61" customFormat="false" ht="18" hidden="false" customHeight="true" outlineLevel="0" collapsed="false">
      <c r="A61" s="15" t="s">
        <v>421</v>
      </c>
      <c r="B61" s="15" t="s">
        <v>173</v>
      </c>
      <c r="C61" s="7" t="s">
        <v>174</v>
      </c>
      <c r="D61" s="15" t="s">
        <v>114</v>
      </c>
      <c r="E61" s="15" t="s">
        <v>197</v>
      </c>
      <c r="F61" s="16" t="s">
        <v>422</v>
      </c>
      <c r="G61" s="7" t="s">
        <v>174</v>
      </c>
      <c r="H61" s="15" t="s">
        <v>114</v>
      </c>
      <c r="I61" s="48" t="n">
        <v>1</v>
      </c>
      <c r="J61" s="8" t="n">
        <f aca="false">IFERROR(VLOOKUP(F61,工料机价格!$A$4:$F$45,6,FALSE()),0)</f>
        <v>75</v>
      </c>
      <c r="K61" s="19" t="n">
        <f aca="false">I61*J61</f>
        <v>75</v>
      </c>
      <c r="L61" s="19" t="n">
        <f aca="false">IF(E61="人工",K61,0)</f>
        <v>0</v>
      </c>
      <c r="M61" s="19" t="n">
        <f aca="false">IF(E61="材料",K61,0)</f>
        <v>0</v>
      </c>
      <c r="N61" s="19" t="n">
        <f aca="false">IF(OR(E61="机械",E61="外委"),K61,0)</f>
        <v>75</v>
      </c>
      <c r="O61" s="17" t="s">
        <v>423</v>
      </c>
      <c r="P61" s="15"/>
    </row>
    <row r="62" customFormat="false" ht="21.75" hidden="false" customHeight="true" outlineLevel="0" collapsed="false">
      <c r="A62" s="6" t="n">
        <v>13</v>
      </c>
      <c r="B62" s="6" t="s">
        <v>133</v>
      </c>
      <c r="C62" s="44" t="s">
        <v>134</v>
      </c>
      <c r="D62" s="6" t="s">
        <v>136</v>
      </c>
      <c r="E62" s="6" t="s">
        <v>280</v>
      </c>
      <c r="F62" s="6"/>
      <c r="G62" s="6"/>
      <c r="H62" s="6"/>
      <c r="I62" s="6"/>
      <c r="J62" s="6"/>
      <c r="K62" s="45" t="n">
        <f aca="false">SUM(K63)</f>
        <v>190</v>
      </c>
      <c r="L62" s="46" t="n">
        <f aca="false">SUMIF(E63,"人工",K63)</f>
        <v>0</v>
      </c>
      <c r="M62" s="46" t="n">
        <f aca="false">SUMIF(E63,"材料",K63)</f>
        <v>0</v>
      </c>
      <c r="N62" s="46" t="n">
        <f aca="false">SUMIF(E63,"机械",K63)+SUMIF(E63,"外委",K63)</f>
        <v>190</v>
      </c>
      <c r="O62" s="47" t="s">
        <v>424</v>
      </c>
      <c r="P62" s="45" t="n">
        <f aca="false">K62</f>
        <v>190</v>
      </c>
    </row>
    <row r="63" customFormat="false" ht="18" hidden="false" customHeight="true" outlineLevel="0" collapsed="false">
      <c r="A63" s="15" t="s">
        <v>425</v>
      </c>
      <c r="B63" s="15" t="s">
        <v>133</v>
      </c>
      <c r="C63" s="7" t="s">
        <v>134</v>
      </c>
      <c r="D63" s="15" t="s">
        <v>136</v>
      </c>
      <c r="E63" s="15" t="s">
        <v>197</v>
      </c>
      <c r="F63" s="16" t="s">
        <v>426</v>
      </c>
      <c r="G63" s="7" t="s">
        <v>134</v>
      </c>
      <c r="H63" s="15" t="s">
        <v>136</v>
      </c>
      <c r="I63" s="48" t="n">
        <v>1</v>
      </c>
      <c r="J63" s="8" t="n">
        <f aca="false">IFERROR(VLOOKUP(F63,工料机价格!$A$4:$F$45,6,FALSE()),0)</f>
        <v>190</v>
      </c>
      <c r="K63" s="19" t="n">
        <f aca="false">I63*J63</f>
        <v>190</v>
      </c>
      <c r="L63" s="19" t="n">
        <f aca="false">IF(E63="人工",K63,0)</f>
        <v>0</v>
      </c>
      <c r="M63" s="19" t="n">
        <f aca="false">IF(E63="材料",K63,0)</f>
        <v>0</v>
      </c>
      <c r="N63" s="19" t="n">
        <f aca="false">IF(OR(E63="机械",E63="外委"),K63,0)</f>
        <v>190</v>
      </c>
      <c r="O63" s="17" t="s">
        <v>427</v>
      </c>
      <c r="P63" s="15"/>
    </row>
    <row r="64" customFormat="false" ht="21.75" hidden="false" customHeight="true" outlineLevel="0" collapsed="false">
      <c r="A64" s="6" t="n">
        <v>14</v>
      </c>
      <c r="B64" s="6" t="s">
        <v>140</v>
      </c>
      <c r="C64" s="44" t="s">
        <v>141</v>
      </c>
      <c r="D64" s="6" t="s">
        <v>136</v>
      </c>
      <c r="E64" s="6" t="s">
        <v>280</v>
      </c>
      <c r="F64" s="6"/>
      <c r="G64" s="6"/>
      <c r="H64" s="6"/>
      <c r="I64" s="6"/>
      <c r="J64" s="6"/>
      <c r="K64" s="45" t="n">
        <f aca="false">SUM(K65:K66)</f>
        <v>44</v>
      </c>
      <c r="L64" s="46" t="n">
        <f aca="false">SUMIF(E65:E66,"人工",K65:K66)</f>
        <v>0</v>
      </c>
      <c r="M64" s="46" t="n">
        <f aca="false">SUMIF(E65:E66,"材料",K65:K66)</f>
        <v>44</v>
      </c>
      <c r="N64" s="46" t="n">
        <f aca="false">SUMIF(E65:E66,"机械",K65:K66)+SUMIF(E65:E66,"外委",K65:K66)</f>
        <v>0</v>
      </c>
      <c r="O64" s="47" t="s">
        <v>428</v>
      </c>
      <c r="P64" s="45" t="n">
        <f aca="false">K64</f>
        <v>44</v>
      </c>
    </row>
    <row r="65" customFormat="false" ht="18" hidden="false" customHeight="true" outlineLevel="0" collapsed="false">
      <c r="A65" s="15" t="s">
        <v>429</v>
      </c>
      <c r="B65" s="15" t="s">
        <v>140</v>
      </c>
      <c r="C65" s="7" t="s">
        <v>141</v>
      </c>
      <c r="D65" s="15" t="s">
        <v>136</v>
      </c>
      <c r="E65" s="15" t="s">
        <v>277</v>
      </c>
      <c r="F65" s="16" t="s">
        <v>430</v>
      </c>
      <c r="G65" s="7" t="s">
        <v>431</v>
      </c>
      <c r="H65" s="15" t="s">
        <v>432</v>
      </c>
      <c r="I65" s="49" t="n">
        <f aca="false">工程量计算!C10</f>
        <v>40</v>
      </c>
      <c r="J65" s="8" t="n">
        <f aca="false">IFERROR(VLOOKUP(F65,工料机价格!$A$4:$F$45,6,FALSE()),0)</f>
        <v>0.8</v>
      </c>
      <c r="K65" s="19" t="n">
        <f aca="false">I65*J65</f>
        <v>32</v>
      </c>
      <c r="L65" s="19" t="n">
        <f aca="false">IF(E65="人工",K65,0)</f>
        <v>0</v>
      </c>
      <c r="M65" s="19" t="n">
        <f aca="false">IF(E65="材料",K65,0)</f>
        <v>32</v>
      </c>
      <c r="N65" s="19" t="n">
        <f aca="false">IF(OR(E65="机械",E65="外委"),K65,0)</f>
        <v>0</v>
      </c>
      <c r="O65" s="17" t="s">
        <v>433</v>
      </c>
      <c r="P65" s="15"/>
    </row>
    <row r="66" customFormat="false" ht="18" hidden="false" customHeight="true" outlineLevel="0" collapsed="false">
      <c r="A66" s="21" t="s">
        <v>434</v>
      </c>
      <c r="B66" s="21" t="s">
        <v>140</v>
      </c>
      <c r="C66" s="10" t="s">
        <v>141</v>
      </c>
      <c r="D66" s="21" t="s">
        <v>136</v>
      </c>
      <c r="E66" s="21" t="s">
        <v>277</v>
      </c>
      <c r="F66" s="22" t="s">
        <v>435</v>
      </c>
      <c r="G66" s="10" t="s">
        <v>436</v>
      </c>
      <c r="H66" s="21" t="s">
        <v>136</v>
      </c>
      <c r="I66" s="48" t="n">
        <v>1</v>
      </c>
      <c r="J66" s="8" t="n">
        <f aca="false">IFERROR(VLOOKUP(F66,工料机价格!$A$4:$F$45,6,FALSE()),0)</f>
        <v>12</v>
      </c>
      <c r="K66" s="24" t="n">
        <f aca="false">I66*J66</f>
        <v>12</v>
      </c>
      <c r="L66" s="24" t="n">
        <f aca="false">IF(E66="人工",K66,0)</f>
        <v>0</v>
      </c>
      <c r="M66" s="24" t="n">
        <f aca="false">IF(E66="材料",K66,0)</f>
        <v>12</v>
      </c>
      <c r="N66" s="24" t="n">
        <f aca="false">IF(OR(E66="机械",E66="外委"),K66,0)</f>
        <v>0</v>
      </c>
      <c r="O66" s="23" t="s">
        <v>437</v>
      </c>
      <c r="P66" s="21"/>
    </row>
    <row r="67" customFormat="false" ht="21.75" hidden="false" customHeight="true" outlineLevel="0" collapsed="false">
      <c r="A67" s="6" t="n">
        <v>15</v>
      </c>
      <c r="B67" s="6" t="s">
        <v>128</v>
      </c>
      <c r="C67" s="44" t="s">
        <v>129</v>
      </c>
      <c r="D67" s="6" t="s">
        <v>114</v>
      </c>
      <c r="E67" s="6" t="s">
        <v>280</v>
      </c>
      <c r="F67" s="6"/>
      <c r="G67" s="6"/>
      <c r="H67" s="6"/>
      <c r="I67" s="6"/>
      <c r="J67" s="6"/>
      <c r="K67" s="45" t="n">
        <f aca="false">SUM(K68)</f>
        <v>2800</v>
      </c>
      <c r="L67" s="46" t="n">
        <f aca="false">SUMIF(E68,"人工",K68)</f>
        <v>0</v>
      </c>
      <c r="M67" s="46" t="n">
        <f aca="false">SUMIF(E68,"材料",K68)</f>
        <v>0</v>
      </c>
      <c r="N67" s="46" t="n">
        <f aca="false">SUMIF(E68,"机械",K68)+SUMIF(E68,"外委",K68)</f>
        <v>2800</v>
      </c>
      <c r="O67" s="47" t="s">
        <v>438</v>
      </c>
      <c r="P67" s="45" t="n">
        <f aca="false">K67</f>
        <v>2800</v>
      </c>
    </row>
    <row r="68" customFormat="false" ht="18" hidden="false" customHeight="true" outlineLevel="0" collapsed="false">
      <c r="A68" s="15" t="s">
        <v>439</v>
      </c>
      <c r="B68" s="15" t="s">
        <v>128</v>
      </c>
      <c r="C68" s="7" t="s">
        <v>129</v>
      </c>
      <c r="D68" s="15" t="s">
        <v>114</v>
      </c>
      <c r="E68" s="15" t="s">
        <v>197</v>
      </c>
      <c r="F68" s="16" t="s">
        <v>440</v>
      </c>
      <c r="G68" s="7" t="s">
        <v>129</v>
      </c>
      <c r="H68" s="15" t="s">
        <v>114</v>
      </c>
      <c r="I68" s="48" t="n">
        <v>1</v>
      </c>
      <c r="J68" s="8" t="n">
        <f aca="false">IFERROR(VLOOKUP(F68,工料机价格!$A$4:$F$45,6,FALSE()),0)</f>
        <v>2800</v>
      </c>
      <c r="K68" s="19" t="n">
        <f aca="false">I68*J68</f>
        <v>2800</v>
      </c>
      <c r="L68" s="19" t="n">
        <f aca="false">IF(E68="人工",K68,0)</f>
        <v>0</v>
      </c>
      <c r="M68" s="19" t="n">
        <f aca="false">IF(E68="材料",K68,0)</f>
        <v>0</v>
      </c>
      <c r="N68" s="19" t="n">
        <f aca="false">IF(OR(E68="机械",E68="外委"),K68,0)</f>
        <v>2800</v>
      </c>
      <c r="O68" s="17" t="s">
        <v>441</v>
      </c>
      <c r="P68" s="15"/>
    </row>
    <row r="69" customFormat="false" ht="21.75" hidden="false" customHeight="true" outlineLevel="0" collapsed="false">
      <c r="A69" s="6" t="n">
        <v>16</v>
      </c>
      <c r="B69" s="6" t="s">
        <v>144</v>
      </c>
      <c r="C69" s="44" t="s">
        <v>145</v>
      </c>
      <c r="D69" s="6" t="s">
        <v>136</v>
      </c>
      <c r="E69" s="6" t="s">
        <v>280</v>
      </c>
      <c r="F69" s="6"/>
      <c r="G69" s="6"/>
      <c r="H69" s="6"/>
      <c r="I69" s="6"/>
      <c r="J69" s="6"/>
      <c r="K69" s="45" t="n">
        <f aca="false">SUM(K70:K71)</f>
        <v>76</v>
      </c>
      <c r="L69" s="46" t="n">
        <f aca="false">SUMIF(E70:E71,"人工",K70:K71)</f>
        <v>0</v>
      </c>
      <c r="M69" s="46" t="n">
        <f aca="false">SUMIF(E70:E71,"材料",K70:K71)</f>
        <v>76</v>
      </c>
      <c r="N69" s="46" t="n">
        <f aca="false">SUMIF(E70:E71,"机械",K70:K71)+SUMIF(E70:E71,"外委",K70:K71)</f>
        <v>0</v>
      </c>
      <c r="O69" s="47" t="s">
        <v>442</v>
      </c>
      <c r="P69" s="45" t="n">
        <f aca="false">K69</f>
        <v>76</v>
      </c>
    </row>
    <row r="70" customFormat="false" ht="18" hidden="false" customHeight="true" outlineLevel="0" collapsed="false">
      <c r="A70" s="15" t="s">
        <v>443</v>
      </c>
      <c r="B70" s="15" t="s">
        <v>144</v>
      </c>
      <c r="C70" s="7" t="s">
        <v>145</v>
      </c>
      <c r="D70" s="15" t="s">
        <v>136</v>
      </c>
      <c r="E70" s="15" t="s">
        <v>277</v>
      </c>
      <c r="F70" s="16" t="s">
        <v>430</v>
      </c>
      <c r="G70" s="7" t="s">
        <v>431</v>
      </c>
      <c r="H70" s="15" t="s">
        <v>432</v>
      </c>
      <c r="I70" s="49" t="n">
        <f aca="false">工程量计算!C11</f>
        <v>80</v>
      </c>
      <c r="J70" s="8" t="n">
        <f aca="false">IFERROR(VLOOKUP(F70,工料机价格!$A$4:$F$45,6,FALSE()),0)</f>
        <v>0.8</v>
      </c>
      <c r="K70" s="19" t="n">
        <f aca="false">I70*J70</f>
        <v>64</v>
      </c>
      <c r="L70" s="19" t="n">
        <f aca="false">IF(E70="人工",K70,0)</f>
        <v>0</v>
      </c>
      <c r="M70" s="19" t="n">
        <f aca="false">IF(E70="材料",K70,0)</f>
        <v>64</v>
      </c>
      <c r="N70" s="19" t="n">
        <f aca="false">IF(OR(E70="机械",E70="外委"),K70,0)</f>
        <v>0</v>
      </c>
      <c r="O70" s="17" t="s">
        <v>444</v>
      </c>
      <c r="P70" s="15"/>
    </row>
    <row r="71" customFormat="false" ht="18" hidden="false" customHeight="true" outlineLevel="0" collapsed="false">
      <c r="A71" s="21" t="s">
        <v>445</v>
      </c>
      <c r="B71" s="21" t="s">
        <v>144</v>
      </c>
      <c r="C71" s="10" t="s">
        <v>145</v>
      </c>
      <c r="D71" s="21" t="s">
        <v>136</v>
      </c>
      <c r="E71" s="21" t="s">
        <v>277</v>
      </c>
      <c r="F71" s="22" t="s">
        <v>435</v>
      </c>
      <c r="G71" s="10" t="s">
        <v>436</v>
      </c>
      <c r="H71" s="21" t="s">
        <v>136</v>
      </c>
      <c r="I71" s="48" t="n">
        <v>1</v>
      </c>
      <c r="J71" s="8" t="n">
        <f aca="false">IFERROR(VLOOKUP(F71,工料机价格!$A$4:$F$45,6,FALSE()),0)</f>
        <v>12</v>
      </c>
      <c r="K71" s="24" t="n">
        <f aca="false">I71*J71</f>
        <v>12</v>
      </c>
      <c r="L71" s="24" t="n">
        <f aca="false">IF(E71="人工",K71,0)</f>
        <v>0</v>
      </c>
      <c r="M71" s="24" t="n">
        <f aca="false">IF(E71="材料",K71,0)</f>
        <v>12</v>
      </c>
      <c r="N71" s="24" t="n">
        <f aca="false">IF(OR(E71="机械",E71="外委"),K71,0)</f>
        <v>0</v>
      </c>
      <c r="O71" s="23" t="s">
        <v>437</v>
      </c>
      <c r="P71" s="21"/>
    </row>
    <row r="72" customFormat="false" ht="21.75" hidden="false" customHeight="true" outlineLevel="0" collapsed="false">
      <c r="A72" s="6" t="n">
        <v>17</v>
      </c>
      <c r="B72" s="6" t="s">
        <v>150</v>
      </c>
      <c r="C72" s="44" t="s">
        <v>151</v>
      </c>
      <c r="D72" s="6" t="s">
        <v>114</v>
      </c>
      <c r="E72" s="6" t="s">
        <v>280</v>
      </c>
      <c r="F72" s="6"/>
      <c r="G72" s="6"/>
      <c r="H72" s="6"/>
      <c r="I72" s="6"/>
      <c r="J72" s="6"/>
      <c r="K72" s="45" t="n">
        <f aca="false">SUM(K73:K76)</f>
        <v>13.1302</v>
      </c>
      <c r="L72" s="46" t="n">
        <f aca="false">SUMIF(E73:E76,"人工",K73:K76)</f>
        <v>2.4</v>
      </c>
      <c r="M72" s="46" t="n">
        <f aca="false">SUMIF(E73:E76,"材料",K73:K76)</f>
        <v>0</v>
      </c>
      <c r="N72" s="46" t="n">
        <f aca="false">SUMIF(E73:E76,"机械",K73:K76)+SUMIF(E73:E76,"外委",K73:K76)</f>
        <v>10.7302</v>
      </c>
      <c r="O72" s="47" t="s">
        <v>446</v>
      </c>
      <c r="P72" s="45" t="n">
        <f aca="false">K72</f>
        <v>13.1302</v>
      </c>
    </row>
    <row r="73" customFormat="false" ht="18" hidden="false" customHeight="true" outlineLevel="0" collapsed="false">
      <c r="A73" s="15" t="s">
        <v>447</v>
      </c>
      <c r="B73" s="15" t="s">
        <v>150</v>
      </c>
      <c r="C73" s="7" t="s">
        <v>151</v>
      </c>
      <c r="D73" s="15" t="s">
        <v>114</v>
      </c>
      <c r="E73" s="15" t="s">
        <v>278</v>
      </c>
      <c r="F73" s="16" t="s">
        <v>373</v>
      </c>
      <c r="G73" s="7" t="s">
        <v>374</v>
      </c>
      <c r="H73" s="15" t="s">
        <v>305</v>
      </c>
      <c r="I73" s="48" t="n">
        <v>0.004</v>
      </c>
      <c r="J73" s="8" t="n">
        <f aca="false">IFERROR(VLOOKUP(F73,工料机价格!$A$4:$F$45,6,FALSE()),0)</f>
        <v>1136.65</v>
      </c>
      <c r="K73" s="19" t="n">
        <f aca="false">I73*J73</f>
        <v>4.5466</v>
      </c>
      <c r="L73" s="19" t="n">
        <f aca="false">IF(E73="人工",K73,0)</f>
        <v>0</v>
      </c>
      <c r="M73" s="19" t="n">
        <f aca="false">IF(E73="材料",K73,0)</f>
        <v>0</v>
      </c>
      <c r="N73" s="19" t="n">
        <f aca="false">IF(OR(E73="机械",E73="外委"),K73,0)</f>
        <v>4.5466</v>
      </c>
      <c r="O73" s="17" t="s">
        <v>375</v>
      </c>
      <c r="P73" s="15"/>
    </row>
    <row r="74" customFormat="false" ht="18" hidden="false" customHeight="true" outlineLevel="0" collapsed="false">
      <c r="A74" s="21" t="s">
        <v>448</v>
      </c>
      <c r="B74" s="21" t="s">
        <v>150</v>
      </c>
      <c r="C74" s="10" t="s">
        <v>151</v>
      </c>
      <c r="D74" s="21" t="s">
        <v>114</v>
      </c>
      <c r="E74" s="21" t="s">
        <v>278</v>
      </c>
      <c r="F74" s="22" t="s">
        <v>327</v>
      </c>
      <c r="G74" s="10" t="s">
        <v>328</v>
      </c>
      <c r="H74" s="21" t="s">
        <v>305</v>
      </c>
      <c r="I74" s="48" t="n">
        <v>0.002</v>
      </c>
      <c r="J74" s="8" t="n">
        <f aca="false">IFERROR(VLOOKUP(F74,工料机价格!$A$4:$F$45,6,FALSE()),0)</f>
        <v>1773.3</v>
      </c>
      <c r="K74" s="24" t="n">
        <f aca="false">I74*J74</f>
        <v>3.5466</v>
      </c>
      <c r="L74" s="24" t="n">
        <f aca="false">IF(E74="人工",K74,0)</f>
        <v>0</v>
      </c>
      <c r="M74" s="24" t="n">
        <f aca="false">IF(E74="材料",K74,0)</f>
        <v>0</v>
      </c>
      <c r="N74" s="24" t="n">
        <f aca="false">IF(OR(E74="机械",E74="外委"),K74,0)</f>
        <v>3.5466</v>
      </c>
      <c r="O74" s="23" t="s">
        <v>306</v>
      </c>
      <c r="P74" s="21"/>
    </row>
    <row r="75" customFormat="false" ht="18" hidden="false" customHeight="true" outlineLevel="0" collapsed="false">
      <c r="A75" s="15" t="s">
        <v>449</v>
      </c>
      <c r="B75" s="15" t="s">
        <v>150</v>
      </c>
      <c r="C75" s="7" t="s">
        <v>151</v>
      </c>
      <c r="D75" s="15" t="s">
        <v>114</v>
      </c>
      <c r="E75" s="15" t="s">
        <v>278</v>
      </c>
      <c r="F75" s="16" t="s">
        <v>308</v>
      </c>
      <c r="G75" s="7" t="s">
        <v>309</v>
      </c>
      <c r="H75" s="15" t="s">
        <v>305</v>
      </c>
      <c r="I75" s="48" t="n">
        <v>0.0025</v>
      </c>
      <c r="J75" s="8" t="n">
        <f aca="false">IFERROR(VLOOKUP(F75,工料机价格!$A$4:$F$45,6,FALSE()),0)</f>
        <v>1054.8</v>
      </c>
      <c r="K75" s="19" t="n">
        <f aca="false">I75*J75</f>
        <v>2.637</v>
      </c>
      <c r="L75" s="19" t="n">
        <f aca="false">IF(E75="人工",K75,0)</f>
        <v>0</v>
      </c>
      <c r="M75" s="19" t="n">
        <f aca="false">IF(E75="材料",K75,0)</f>
        <v>0</v>
      </c>
      <c r="N75" s="19" t="n">
        <f aca="false">IF(OR(E75="机械",E75="外委"),K75,0)</f>
        <v>2.637</v>
      </c>
      <c r="O75" s="17" t="s">
        <v>310</v>
      </c>
      <c r="P75" s="15"/>
    </row>
    <row r="76" customFormat="false" ht="18" hidden="false" customHeight="true" outlineLevel="0" collapsed="false">
      <c r="A76" s="21" t="s">
        <v>450</v>
      </c>
      <c r="B76" s="21" t="s">
        <v>150</v>
      </c>
      <c r="C76" s="10" t="s">
        <v>151</v>
      </c>
      <c r="D76" s="21" t="s">
        <v>114</v>
      </c>
      <c r="E76" s="21" t="s">
        <v>276</v>
      </c>
      <c r="F76" s="22" t="s">
        <v>288</v>
      </c>
      <c r="G76" s="10" t="s">
        <v>289</v>
      </c>
      <c r="H76" s="21" t="s">
        <v>285</v>
      </c>
      <c r="I76" s="48" t="n">
        <v>0.008</v>
      </c>
      <c r="J76" s="8" t="n">
        <f aca="false">IFERROR(VLOOKUP(F76,工料机价格!$A$4:$F$45,6,FALSE()),0)</f>
        <v>300</v>
      </c>
      <c r="K76" s="24" t="n">
        <f aca="false">I76*J76</f>
        <v>2.4</v>
      </c>
      <c r="L76" s="24" t="n">
        <f aca="false">IF(E76="人工",K76,0)</f>
        <v>2.4</v>
      </c>
      <c r="M76" s="24" t="n">
        <f aca="false">IF(E76="材料",K76,0)</f>
        <v>0</v>
      </c>
      <c r="N76" s="24" t="n">
        <f aca="false">IF(OR(E76="机械",E76="外委"),K76,0)</f>
        <v>0</v>
      </c>
      <c r="O76" s="23" t="s">
        <v>451</v>
      </c>
      <c r="P76" s="21"/>
    </row>
    <row r="77" customFormat="false" ht="21.75" hidden="false" customHeight="true" outlineLevel="0" collapsed="false">
      <c r="A77" s="6" t="n">
        <v>18</v>
      </c>
      <c r="B77" s="6" t="s">
        <v>154</v>
      </c>
      <c r="C77" s="44" t="s">
        <v>155</v>
      </c>
      <c r="D77" s="6" t="s">
        <v>114</v>
      </c>
      <c r="E77" s="6" t="s">
        <v>280</v>
      </c>
      <c r="F77" s="6"/>
      <c r="G77" s="6"/>
      <c r="H77" s="6"/>
      <c r="I77" s="6"/>
      <c r="J77" s="6"/>
      <c r="K77" s="45" t="n">
        <f aca="false">SUM(K78)</f>
        <v>80</v>
      </c>
      <c r="L77" s="46" t="n">
        <f aca="false">SUMIF(E78,"人工",K78)</f>
        <v>0</v>
      </c>
      <c r="M77" s="46" t="n">
        <f aca="false">SUMIF(E78,"材料",K78)</f>
        <v>0</v>
      </c>
      <c r="N77" s="46" t="n">
        <f aca="false">SUMIF(E78,"机械",K78)+SUMIF(E78,"外委",K78)</f>
        <v>80</v>
      </c>
      <c r="O77" s="47" t="s">
        <v>452</v>
      </c>
      <c r="P77" s="45" t="n">
        <f aca="false">K77</f>
        <v>80</v>
      </c>
    </row>
    <row r="78" customFormat="false" ht="18" hidden="false" customHeight="true" outlineLevel="0" collapsed="false">
      <c r="A78" s="15" t="s">
        <v>453</v>
      </c>
      <c r="B78" s="15" t="s">
        <v>154</v>
      </c>
      <c r="C78" s="7" t="s">
        <v>155</v>
      </c>
      <c r="D78" s="15" t="s">
        <v>114</v>
      </c>
      <c r="E78" s="15" t="s">
        <v>197</v>
      </c>
      <c r="F78" s="16" t="s">
        <v>454</v>
      </c>
      <c r="G78" s="7" t="s">
        <v>155</v>
      </c>
      <c r="H78" s="15" t="s">
        <v>114</v>
      </c>
      <c r="I78" s="48" t="n">
        <v>1</v>
      </c>
      <c r="J78" s="8" t="n">
        <f aca="false">IFERROR(VLOOKUP(F78,工料机价格!$A$4:$F$45,6,FALSE()),0)</f>
        <v>80</v>
      </c>
      <c r="K78" s="19" t="n">
        <f aca="false">I78*J78</f>
        <v>80</v>
      </c>
      <c r="L78" s="19" t="n">
        <f aca="false">IF(E78="人工",K78,0)</f>
        <v>0</v>
      </c>
      <c r="M78" s="19" t="n">
        <f aca="false">IF(E78="材料",K78,0)</f>
        <v>0</v>
      </c>
      <c r="N78" s="19" t="n">
        <f aca="false">IF(OR(E78="机械",E78="外委"),K78,0)</f>
        <v>80</v>
      </c>
      <c r="O78" s="17" t="s">
        <v>455</v>
      </c>
      <c r="P78" s="15"/>
    </row>
    <row r="79" customFormat="false" ht="21.75" hidden="false" customHeight="true" outlineLevel="0" collapsed="false">
      <c r="A79" s="6" t="n">
        <v>19</v>
      </c>
      <c r="B79" s="6" t="s">
        <v>159</v>
      </c>
      <c r="C79" s="44" t="s">
        <v>160</v>
      </c>
      <c r="D79" s="6" t="s">
        <v>114</v>
      </c>
      <c r="E79" s="6" t="s">
        <v>280</v>
      </c>
      <c r="F79" s="6"/>
      <c r="G79" s="6"/>
      <c r="H79" s="6"/>
      <c r="I79" s="6"/>
      <c r="J79" s="6"/>
      <c r="K79" s="45" t="n">
        <f aca="false">SUM(K80:K83)</f>
        <v>11.39355</v>
      </c>
      <c r="L79" s="46" t="n">
        <f aca="false">SUMIF(E80:E83,"人工",K80:K83)</f>
        <v>1.8</v>
      </c>
      <c r="M79" s="46" t="n">
        <f aca="false">SUMIF(E80:E83,"材料",K80:K83)</f>
        <v>0</v>
      </c>
      <c r="N79" s="46" t="n">
        <f aca="false">SUMIF(E80:E83,"机械",K80:K83)+SUMIF(E80:E83,"外委",K80:K83)</f>
        <v>9.59355</v>
      </c>
      <c r="O79" s="47" t="s">
        <v>456</v>
      </c>
      <c r="P79" s="45" t="n">
        <f aca="false">K79</f>
        <v>11.39355</v>
      </c>
    </row>
    <row r="80" customFormat="false" ht="18" hidden="false" customHeight="true" outlineLevel="0" collapsed="false">
      <c r="A80" s="15" t="s">
        <v>457</v>
      </c>
      <c r="B80" s="15" t="s">
        <v>159</v>
      </c>
      <c r="C80" s="7" t="s">
        <v>160</v>
      </c>
      <c r="D80" s="15" t="s">
        <v>114</v>
      </c>
      <c r="E80" s="15" t="s">
        <v>278</v>
      </c>
      <c r="F80" s="16" t="s">
        <v>373</v>
      </c>
      <c r="G80" s="7" t="s">
        <v>374</v>
      </c>
      <c r="H80" s="15" t="s">
        <v>305</v>
      </c>
      <c r="I80" s="48" t="n">
        <v>0.003</v>
      </c>
      <c r="J80" s="8" t="n">
        <f aca="false">IFERROR(VLOOKUP(F80,工料机价格!$A$4:$F$45,6,FALSE()),0)</f>
        <v>1136.65</v>
      </c>
      <c r="K80" s="19" t="n">
        <f aca="false">I80*J80</f>
        <v>3.40995</v>
      </c>
      <c r="L80" s="19" t="n">
        <f aca="false">IF(E80="人工",K80,0)</f>
        <v>0</v>
      </c>
      <c r="M80" s="19" t="n">
        <f aca="false">IF(E80="材料",K80,0)</f>
        <v>0</v>
      </c>
      <c r="N80" s="19" t="n">
        <f aca="false">IF(OR(E80="机械",E80="外委"),K80,0)</f>
        <v>3.40995</v>
      </c>
      <c r="O80" s="17" t="s">
        <v>458</v>
      </c>
      <c r="P80" s="15"/>
    </row>
    <row r="81" customFormat="false" ht="18" hidden="false" customHeight="true" outlineLevel="0" collapsed="false">
      <c r="A81" s="21" t="s">
        <v>459</v>
      </c>
      <c r="B81" s="21" t="s">
        <v>159</v>
      </c>
      <c r="C81" s="10" t="s">
        <v>160</v>
      </c>
      <c r="D81" s="21" t="s">
        <v>114</v>
      </c>
      <c r="E81" s="21" t="s">
        <v>278</v>
      </c>
      <c r="F81" s="22" t="s">
        <v>327</v>
      </c>
      <c r="G81" s="10" t="s">
        <v>328</v>
      </c>
      <c r="H81" s="21" t="s">
        <v>305</v>
      </c>
      <c r="I81" s="48" t="n">
        <v>0.002</v>
      </c>
      <c r="J81" s="8" t="n">
        <f aca="false">IFERROR(VLOOKUP(F81,工料机价格!$A$4:$F$45,6,FALSE()),0)</f>
        <v>1773.3</v>
      </c>
      <c r="K81" s="24" t="n">
        <f aca="false">I81*J81</f>
        <v>3.5466</v>
      </c>
      <c r="L81" s="24" t="n">
        <f aca="false">IF(E81="人工",K81,0)</f>
        <v>0</v>
      </c>
      <c r="M81" s="24" t="n">
        <f aca="false">IF(E81="材料",K81,0)</f>
        <v>0</v>
      </c>
      <c r="N81" s="24" t="n">
        <f aca="false">IF(OR(E81="机械",E81="外委"),K81,0)</f>
        <v>3.5466</v>
      </c>
      <c r="O81" s="23" t="s">
        <v>306</v>
      </c>
      <c r="P81" s="21"/>
    </row>
    <row r="82" customFormat="false" ht="18" hidden="false" customHeight="true" outlineLevel="0" collapsed="false">
      <c r="A82" s="15" t="s">
        <v>460</v>
      </c>
      <c r="B82" s="15" t="s">
        <v>159</v>
      </c>
      <c r="C82" s="7" t="s">
        <v>160</v>
      </c>
      <c r="D82" s="15" t="s">
        <v>114</v>
      </c>
      <c r="E82" s="15" t="s">
        <v>278</v>
      </c>
      <c r="F82" s="16" t="s">
        <v>308</v>
      </c>
      <c r="G82" s="7" t="s">
        <v>309</v>
      </c>
      <c r="H82" s="15" t="s">
        <v>305</v>
      </c>
      <c r="I82" s="48" t="n">
        <v>0.0025</v>
      </c>
      <c r="J82" s="8" t="n">
        <f aca="false">IFERROR(VLOOKUP(F82,工料机价格!$A$4:$F$45,6,FALSE()),0)</f>
        <v>1054.8</v>
      </c>
      <c r="K82" s="19" t="n">
        <f aca="false">I82*J82</f>
        <v>2.637</v>
      </c>
      <c r="L82" s="19" t="n">
        <f aca="false">IF(E82="人工",K82,0)</f>
        <v>0</v>
      </c>
      <c r="M82" s="19" t="n">
        <f aca="false">IF(E82="材料",K82,0)</f>
        <v>0</v>
      </c>
      <c r="N82" s="19" t="n">
        <f aca="false">IF(OR(E82="机械",E82="外委"),K82,0)</f>
        <v>2.637</v>
      </c>
      <c r="O82" s="17" t="s">
        <v>310</v>
      </c>
      <c r="P82" s="15"/>
    </row>
    <row r="83" customFormat="false" ht="18" hidden="false" customHeight="true" outlineLevel="0" collapsed="false">
      <c r="A83" s="21" t="s">
        <v>461</v>
      </c>
      <c r="B83" s="21" t="s">
        <v>159</v>
      </c>
      <c r="C83" s="10" t="s">
        <v>160</v>
      </c>
      <c r="D83" s="21" t="s">
        <v>114</v>
      </c>
      <c r="E83" s="21" t="s">
        <v>276</v>
      </c>
      <c r="F83" s="22" t="s">
        <v>288</v>
      </c>
      <c r="G83" s="10" t="s">
        <v>289</v>
      </c>
      <c r="H83" s="21" t="s">
        <v>285</v>
      </c>
      <c r="I83" s="48" t="n">
        <v>0.006</v>
      </c>
      <c r="J83" s="8" t="n">
        <f aca="false">IFERROR(VLOOKUP(F83,工料机价格!$A$4:$F$45,6,FALSE()),0)</f>
        <v>300</v>
      </c>
      <c r="K83" s="24" t="n">
        <f aca="false">I83*J83</f>
        <v>1.8</v>
      </c>
      <c r="L83" s="24" t="n">
        <f aca="false">IF(E83="人工",K83,0)</f>
        <v>1.8</v>
      </c>
      <c r="M83" s="24" t="n">
        <f aca="false">IF(E83="材料",K83,0)</f>
        <v>0</v>
      </c>
      <c r="N83" s="24" t="n">
        <f aca="false">IF(OR(E83="机械",E83="外委"),K83,0)</f>
        <v>0</v>
      </c>
      <c r="O83" s="23" t="s">
        <v>356</v>
      </c>
      <c r="P83" s="21"/>
    </row>
    <row r="84" customFormat="false" ht="21.75" hidden="false" customHeight="true" outlineLevel="0" collapsed="false">
      <c r="A84" s="6" t="n">
        <v>20</v>
      </c>
      <c r="B84" s="6" t="s">
        <v>183</v>
      </c>
      <c r="C84" s="44" t="s">
        <v>184</v>
      </c>
      <c r="D84" s="6" t="s">
        <v>186</v>
      </c>
      <c r="E84" s="6" t="s">
        <v>280</v>
      </c>
      <c r="F84" s="6"/>
      <c r="G84" s="6"/>
      <c r="H84" s="6"/>
      <c r="I84" s="6"/>
      <c r="J84" s="6"/>
      <c r="K84" s="45" t="n">
        <f aca="false">SUM(K85:K90)</f>
        <v>6969.04</v>
      </c>
      <c r="L84" s="46" t="n">
        <f aca="false">SUMIF(E85:E90,"人工",K85:K90)</f>
        <v>1250</v>
      </c>
      <c r="M84" s="46" t="n">
        <f aca="false">SUMIF(E85:E90,"材料",K85:K90)</f>
        <v>1900.4</v>
      </c>
      <c r="N84" s="46" t="n">
        <f aca="false">SUMIF(E85:E90,"机械",K85:K90)+SUMIF(E85:E90,"外委",K85:K90)</f>
        <v>3818.64</v>
      </c>
      <c r="O84" s="47" t="s">
        <v>462</v>
      </c>
      <c r="P84" s="45" t="n">
        <f aca="false">K84</f>
        <v>6969.04</v>
      </c>
    </row>
    <row r="85" customFormat="false" ht="18" hidden="false" customHeight="true" outlineLevel="0" collapsed="false">
      <c r="A85" s="15" t="s">
        <v>463</v>
      </c>
      <c r="B85" s="15" t="s">
        <v>183</v>
      </c>
      <c r="C85" s="7" t="s">
        <v>184</v>
      </c>
      <c r="D85" s="15" t="s">
        <v>186</v>
      </c>
      <c r="E85" s="15" t="s">
        <v>278</v>
      </c>
      <c r="F85" s="16" t="s">
        <v>464</v>
      </c>
      <c r="G85" s="7" t="s">
        <v>465</v>
      </c>
      <c r="H85" s="15" t="s">
        <v>305</v>
      </c>
      <c r="I85" s="48" t="n">
        <v>1.2</v>
      </c>
      <c r="J85" s="8" t="n">
        <f aca="false">IFERROR(VLOOKUP(F85,工料机价格!$A$4:$F$45,6,FALSE()),0)</f>
        <v>3182.2</v>
      </c>
      <c r="K85" s="19" t="n">
        <f aca="false">I85*J85</f>
        <v>3818.64</v>
      </c>
      <c r="L85" s="19" t="n">
        <f aca="false">IF(E85="人工",K85,0)</f>
        <v>0</v>
      </c>
      <c r="M85" s="19" t="n">
        <f aca="false">IF(E85="材料",K85,0)</f>
        <v>0</v>
      </c>
      <c r="N85" s="19" t="n">
        <f aca="false">IF(OR(E85="机械",E85="外委"),K85,0)</f>
        <v>3818.64</v>
      </c>
      <c r="O85" s="17" t="s">
        <v>466</v>
      </c>
      <c r="P85" s="15"/>
    </row>
    <row r="86" customFormat="false" ht="18" hidden="false" customHeight="true" outlineLevel="0" collapsed="false">
      <c r="A86" s="21" t="s">
        <v>467</v>
      </c>
      <c r="B86" s="21" t="s">
        <v>183</v>
      </c>
      <c r="C86" s="10" t="s">
        <v>184</v>
      </c>
      <c r="D86" s="21" t="s">
        <v>186</v>
      </c>
      <c r="E86" s="21" t="s">
        <v>277</v>
      </c>
      <c r="F86" s="22" t="s">
        <v>468</v>
      </c>
      <c r="G86" s="10" t="s">
        <v>469</v>
      </c>
      <c r="H86" s="21" t="s">
        <v>59</v>
      </c>
      <c r="I86" s="48" t="n">
        <v>20</v>
      </c>
      <c r="J86" s="8" t="n">
        <f aca="false">IFERROR(VLOOKUP(F86,工料机价格!$A$4:$F$45,6,FALSE()),0)</f>
        <v>85</v>
      </c>
      <c r="K86" s="24" t="n">
        <f aca="false">I86*J86</f>
        <v>1700</v>
      </c>
      <c r="L86" s="24" t="n">
        <f aca="false">IF(E86="人工",K86,0)</f>
        <v>0</v>
      </c>
      <c r="M86" s="24" t="n">
        <f aca="false">IF(E86="材料",K86,0)</f>
        <v>1700</v>
      </c>
      <c r="N86" s="24" t="n">
        <f aca="false">IF(OR(E86="机械",E86="外委"),K86,0)</f>
        <v>0</v>
      </c>
      <c r="O86" s="23" t="s">
        <v>470</v>
      </c>
      <c r="P86" s="21"/>
    </row>
    <row r="87" customFormat="false" ht="18" hidden="false" customHeight="true" outlineLevel="0" collapsed="false">
      <c r="A87" s="15" t="s">
        <v>471</v>
      </c>
      <c r="B87" s="15" t="s">
        <v>183</v>
      </c>
      <c r="C87" s="7" t="s">
        <v>184</v>
      </c>
      <c r="D87" s="15" t="s">
        <v>186</v>
      </c>
      <c r="E87" s="15" t="s">
        <v>277</v>
      </c>
      <c r="F87" s="16" t="s">
        <v>295</v>
      </c>
      <c r="G87" s="7" t="s">
        <v>296</v>
      </c>
      <c r="H87" s="15" t="s">
        <v>114</v>
      </c>
      <c r="I87" s="48" t="n">
        <v>0.8</v>
      </c>
      <c r="J87" s="8" t="n">
        <f aca="false">IFERROR(VLOOKUP(F87,工料机价格!$A$4:$F$45,6,FALSE()),0)</f>
        <v>78</v>
      </c>
      <c r="K87" s="19" t="n">
        <f aca="false">I87*J87</f>
        <v>62.4</v>
      </c>
      <c r="L87" s="19" t="n">
        <f aca="false">IF(E87="人工",K87,0)</f>
        <v>0</v>
      </c>
      <c r="M87" s="19" t="n">
        <f aca="false">IF(E87="材料",K87,0)</f>
        <v>62.4</v>
      </c>
      <c r="N87" s="19" t="n">
        <f aca="false">IF(OR(E87="机械",E87="外委"),K87,0)</f>
        <v>0</v>
      </c>
      <c r="O87" s="17" t="s">
        <v>472</v>
      </c>
      <c r="P87" s="15"/>
    </row>
    <row r="88" customFormat="false" ht="18" hidden="false" customHeight="true" outlineLevel="0" collapsed="false">
      <c r="A88" s="21" t="s">
        <v>473</v>
      </c>
      <c r="B88" s="21" t="s">
        <v>183</v>
      </c>
      <c r="C88" s="10" t="s">
        <v>184</v>
      </c>
      <c r="D88" s="21" t="s">
        <v>186</v>
      </c>
      <c r="E88" s="21" t="s">
        <v>277</v>
      </c>
      <c r="F88" s="22" t="s">
        <v>299</v>
      </c>
      <c r="G88" s="10" t="s">
        <v>300</v>
      </c>
      <c r="H88" s="21" t="s">
        <v>114</v>
      </c>
      <c r="I88" s="48" t="n">
        <v>0.4</v>
      </c>
      <c r="J88" s="8" t="n">
        <f aca="false">IFERROR(VLOOKUP(F88,工料机价格!$A$4:$F$45,6,FALSE()),0)</f>
        <v>345</v>
      </c>
      <c r="K88" s="24" t="n">
        <f aca="false">I88*J88</f>
        <v>138</v>
      </c>
      <c r="L88" s="24" t="n">
        <f aca="false">IF(E88="人工",K88,0)</f>
        <v>0</v>
      </c>
      <c r="M88" s="24" t="n">
        <f aca="false">IF(E88="材料",K88,0)</f>
        <v>138</v>
      </c>
      <c r="N88" s="24" t="n">
        <f aca="false">IF(OR(E88="机械",E88="外委"),K88,0)</f>
        <v>0</v>
      </c>
      <c r="O88" s="23" t="s">
        <v>474</v>
      </c>
      <c r="P88" s="21"/>
    </row>
    <row r="89" customFormat="false" ht="18" hidden="false" customHeight="true" outlineLevel="0" collapsed="false">
      <c r="A89" s="15" t="s">
        <v>475</v>
      </c>
      <c r="B89" s="15" t="s">
        <v>183</v>
      </c>
      <c r="C89" s="7" t="s">
        <v>184</v>
      </c>
      <c r="D89" s="15" t="s">
        <v>186</v>
      </c>
      <c r="E89" s="15" t="s">
        <v>276</v>
      </c>
      <c r="F89" s="16" t="s">
        <v>288</v>
      </c>
      <c r="G89" s="7" t="s">
        <v>289</v>
      </c>
      <c r="H89" s="15" t="s">
        <v>285</v>
      </c>
      <c r="I89" s="48" t="n">
        <v>3</v>
      </c>
      <c r="J89" s="8" t="n">
        <f aca="false">IFERROR(VLOOKUP(F89,工料机价格!$A$4:$F$45,6,FALSE()),0)</f>
        <v>300</v>
      </c>
      <c r="K89" s="19" t="n">
        <f aca="false">I89*J89</f>
        <v>900</v>
      </c>
      <c r="L89" s="19" t="n">
        <f aca="false">IF(E89="人工",K89,0)</f>
        <v>900</v>
      </c>
      <c r="M89" s="19" t="n">
        <f aca="false">IF(E89="材料",K89,0)</f>
        <v>0</v>
      </c>
      <c r="N89" s="19" t="n">
        <f aca="false">IF(OR(E89="机械",E89="外委"),K89,0)</f>
        <v>0</v>
      </c>
      <c r="O89" s="17" t="s">
        <v>476</v>
      </c>
      <c r="P89" s="15"/>
    </row>
    <row r="90" customFormat="false" ht="18" hidden="false" customHeight="true" outlineLevel="0" collapsed="false">
      <c r="A90" s="21" t="s">
        <v>477</v>
      </c>
      <c r="B90" s="21" t="s">
        <v>183</v>
      </c>
      <c r="C90" s="10" t="s">
        <v>184</v>
      </c>
      <c r="D90" s="21" t="s">
        <v>186</v>
      </c>
      <c r="E90" s="21" t="s">
        <v>276</v>
      </c>
      <c r="F90" s="22" t="s">
        <v>283</v>
      </c>
      <c r="G90" s="10" t="s">
        <v>284</v>
      </c>
      <c r="H90" s="21" t="s">
        <v>285</v>
      </c>
      <c r="I90" s="48" t="n">
        <v>1</v>
      </c>
      <c r="J90" s="8" t="n">
        <f aca="false">IFERROR(VLOOKUP(F90,工料机价格!$A$4:$F$45,6,FALSE()),0)</f>
        <v>350</v>
      </c>
      <c r="K90" s="24" t="n">
        <f aca="false">I90*J90</f>
        <v>350</v>
      </c>
      <c r="L90" s="24" t="n">
        <f aca="false">IF(E90="人工",K90,0)</f>
        <v>350</v>
      </c>
      <c r="M90" s="24" t="n">
        <f aca="false">IF(E90="材料",K90,0)</f>
        <v>0</v>
      </c>
      <c r="N90" s="24" t="n">
        <f aca="false">IF(OR(E90="机械",E90="外委"),K90,0)</f>
        <v>0</v>
      </c>
      <c r="O90" s="23" t="s">
        <v>478</v>
      </c>
      <c r="P90" s="21"/>
    </row>
    <row r="91" customFormat="false" ht="21.75" hidden="false" customHeight="true" outlineLevel="0" collapsed="false">
      <c r="A91" s="6" t="n">
        <v>21</v>
      </c>
      <c r="B91" s="6" t="s">
        <v>189</v>
      </c>
      <c r="C91" s="44" t="s">
        <v>190</v>
      </c>
      <c r="D91" s="6" t="s">
        <v>192</v>
      </c>
      <c r="E91" s="6" t="s">
        <v>280</v>
      </c>
      <c r="F91" s="6"/>
      <c r="G91" s="6"/>
      <c r="H91" s="6"/>
      <c r="I91" s="6"/>
      <c r="J91" s="6"/>
      <c r="K91" s="45" t="n">
        <f aca="false">SUM(K92)</f>
        <v>1200</v>
      </c>
      <c r="L91" s="46" t="n">
        <f aca="false">SUMIF(E92,"人工",K92)</f>
        <v>0</v>
      </c>
      <c r="M91" s="46" t="n">
        <f aca="false">SUMIF(E92,"材料",K92)</f>
        <v>0</v>
      </c>
      <c r="N91" s="46" t="n">
        <f aca="false">SUMIF(E92,"机械",K92)+SUMIF(E92,"外委",K92)</f>
        <v>1200</v>
      </c>
      <c r="O91" s="47" t="s">
        <v>479</v>
      </c>
      <c r="P91" s="45" t="n">
        <f aca="false">K91</f>
        <v>1200</v>
      </c>
    </row>
    <row r="92" customFormat="false" ht="18" hidden="false" customHeight="true" outlineLevel="0" collapsed="false">
      <c r="A92" s="15" t="s">
        <v>480</v>
      </c>
      <c r="B92" s="15" t="s">
        <v>189</v>
      </c>
      <c r="C92" s="7" t="s">
        <v>190</v>
      </c>
      <c r="D92" s="15" t="s">
        <v>192</v>
      </c>
      <c r="E92" s="15" t="s">
        <v>197</v>
      </c>
      <c r="F92" s="16" t="s">
        <v>481</v>
      </c>
      <c r="G92" s="7" t="s">
        <v>482</v>
      </c>
      <c r="H92" s="15" t="s">
        <v>192</v>
      </c>
      <c r="I92" s="48" t="n">
        <v>1</v>
      </c>
      <c r="J92" s="8" t="n">
        <f aca="false">IFERROR(VLOOKUP(F92,工料机价格!$A$4:$F$45,6,FALSE()),0)</f>
        <v>1200</v>
      </c>
      <c r="K92" s="19" t="n">
        <f aca="false">I92*J92</f>
        <v>1200</v>
      </c>
      <c r="L92" s="19" t="n">
        <f aca="false">IF(E92="人工",K92,0)</f>
        <v>0</v>
      </c>
      <c r="M92" s="19" t="n">
        <f aca="false">IF(E92="材料",K92,0)</f>
        <v>0</v>
      </c>
      <c r="N92" s="19" t="n">
        <f aca="false">IF(OR(E92="机械",E92="外委"),K92,0)</f>
        <v>1200</v>
      </c>
      <c r="O92" s="17" t="s">
        <v>423</v>
      </c>
      <c r="P92" s="15"/>
    </row>
    <row r="93" customFormat="false" ht="21.75" hidden="false" customHeight="true" outlineLevel="0" collapsed="false">
      <c r="A93" s="6" t="n">
        <v>22</v>
      </c>
      <c r="B93" s="6" t="s">
        <v>84</v>
      </c>
      <c r="C93" s="44" t="s">
        <v>85</v>
      </c>
      <c r="D93" s="6" t="s">
        <v>76</v>
      </c>
      <c r="E93" s="6" t="s">
        <v>280</v>
      </c>
      <c r="F93" s="6"/>
      <c r="G93" s="6"/>
      <c r="H93" s="6"/>
      <c r="I93" s="6"/>
      <c r="J93" s="6"/>
      <c r="K93" s="45" t="n">
        <f aca="false">SUM(K94:K95)</f>
        <v>3.825</v>
      </c>
      <c r="L93" s="46" t="n">
        <f aca="false">SUMIF(E94:E95,"人工",K94:K95)</f>
        <v>1.2</v>
      </c>
      <c r="M93" s="46" t="n">
        <f aca="false">SUMIF(E94:E95,"材料",K94:K95)</f>
        <v>2.625</v>
      </c>
      <c r="N93" s="46" t="n">
        <f aca="false">SUMIF(E94:E95,"机械",K94:K95)+SUMIF(E94:E95,"外委",K94:K95)</f>
        <v>0</v>
      </c>
      <c r="O93" s="47" t="s">
        <v>483</v>
      </c>
      <c r="P93" s="45" t="n">
        <f aca="false">K93</f>
        <v>3.825</v>
      </c>
    </row>
    <row r="94" customFormat="false" ht="18" hidden="false" customHeight="true" outlineLevel="0" collapsed="false">
      <c r="A94" s="15" t="s">
        <v>484</v>
      </c>
      <c r="B94" s="15" t="s">
        <v>84</v>
      </c>
      <c r="C94" s="7" t="s">
        <v>85</v>
      </c>
      <c r="D94" s="15" t="s">
        <v>76</v>
      </c>
      <c r="E94" s="15" t="s">
        <v>276</v>
      </c>
      <c r="F94" s="16" t="s">
        <v>288</v>
      </c>
      <c r="G94" s="7" t="s">
        <v>289</v>
      </c>
      <c r="H94" s="15" t="s">
        <v>285</v>
      </c>
      <c r="I94" s="48" t="n">
        <v>0.004</v>
      </c>
      <c r="J94" s="8" t="n">
        <f aca="false">IFERROR(VLOOKUP(F94,工料机价格!$A$4:$F$45,6,FALSE()),0)</f>
        <v>300</v>
      </c>
      <c r="K94" s="19" t="n">
        <f aca="false">I94*J94</f>
        <v>1.2</v>
      </c>
      <c r="L94" s="19" t="n">
        <f aca="false">IF(E94="人工",K94,0)</f>
        <v>1.2</v>
      </c>
      <c r="M94" s="19" t="n">
        <f aca="false">IF(E94="材料",K94,0)</f>
        <v>0</v>
      </c>
      <c r="N94" s="19" t="n">
        <f aca="false">IF(OR(E94="机械",E94="外委"),K94,0)</f>
        <v>0</v>
      </c>
      <c r="O94" s="17" t="s">
        <v>485</v>
      </c>
      <c r="P94" s="15"/>
    </row>
    <row r="95" customFormat="false" ht="18" hidden="false" customHeight="true" outlineLevel="0" collapsed="false">
      <c r="A95" s="21" t="s">
        <v>486</v>
      </c>
      <c r="B95" s="21" t="s">
        <v>84</v>
      </c>
      <c r="C95" s="10" t="s">
        <v>85</v>
      </c>
      <c r="D95" s="21" t="s">
        <v>76</v>
      </c>
      <c r="E95" s="21" t="s">
        <v>277</v>
      </c>
      <c r="F95" s="22" t="s">
        <v>487</v>
      </c>
      <c r="G95" s="10" t="s">
        <v>488</v>
      </c>
      <c r="H95" s="21" t="s">
        <v>76</v>
      </c>
      <c r="I95" s="48" t="n">
        <v>1.05</v>
      </c>
      <c r="J95" s="8" t="n">
        <f aca="false">IFERROR(VLOOKUP(F95,工料机价格!$A$4:$F$45,6,FALSE()),0)</f>
        <v>2.5</v>
      </c>
      <c r="K95" s="24" t="n">
        <f aca="false">I95*J95</f>
        <v>2.625</v>
      </c>
      <c r="L95" s="24" t="n">
        <f aca="false">IF(E95="人工",K95,0)</f>
        <v>0</v>
      </c>
      <c r="M95" s="24" t="n">
        <f aca="false">IF(E95="材料",K95,0)</f>
        <v>2.625</v>
      </c>
      <c r="N95" s="24" t="n">
        <f aca="false">IF(OR(E95="机械",E95="外委"),K95,0)</f>
        <v>0</v>
      </c>
      <c r="O95" s="23" t="s">
        <v>489</v>
      </c>
      <c r="P95" s="21"/>
    </row>
    <row r="96" customFormat="false" ht="21.75" hidden="false" customHeight="true" outlineLevel="0" collapsed="false">
      <c r="A96" s="6" t="n">
        <v>23</v>
      </c>
      <c r="B96" s="6" t="s">
        <v>89</v>
      </c>
      <c r="C96" s="44" t="s">
        <v>90</v>
      </c>
      <c r="D96" s="6" t="s">
        <v>59</v>
      </c>
      <c r="E96" s="6" t="s">
        <v>280</v>
      </c>
      <c r="F96" s="6"/>
      <c r="G96" s="6"/>
      <c r="H96" s="6"/>
      <c r="I96" s="6"/>
      <c r="J96" s="6"/>
      <c r="K96" s="45" t="n">
        <f aca="false">SUM(K97:K101)</f>
        <v>85.1199</v>
      </c>
      <c r="L96" s="46" t="n">
        <f aca="false">SUMIF(E97:E101,"人工",K97:K101)</f>
        <v>30</v>
      </c>
      <c r="M96" s="46" t="n">
        <f aca="false">SUMIF(E97:E101,"材料",K97:K101)</f>
        <v>49.8</v>
      </c>
      <c r="N96" s="46" t="n">
        <f aca="false">SUMIF(E97:E101,"机械",K97:K101)+SUMIF(E97:E101,"外委",K97:K101)</f>
        <v>5.3199</v>
      </c>
      <c r="O96" s="47" t="s">
        <v>490</v>
      </c>
      <c r="P96" s="45" t="n">
        <f aca="false">K96</f>
        <v>85.1199</v>
      </c>
    </row>
    <row r="97" customFormat="false" ht="18" hidden="false" customHeight="true" outlineLevel="0" collapsed="false">
      <c r="A97" s="15" t="s">
        <v>491</v>
      </c>
      <c r="B97" s="15" t="s">
        <v>89</v>
      </c>
      <c r="C97" s="7" t="s">
        <v>90</v>
      </c>
      <c r="D97" s="15" t="s">
        <v>59</v>
      </c>
      <c r="E97" s="15" t="s">
        <v>276</v>
      </c>
      <c r="F97" s="16" t="s">
        <v>288</v>
      </c>
      <c r="G97" s="7" t="s">
        <v>289</v>
      </c>
      <c r="H97" s="15" t="s">
        <v>285</v>
      </c>
      <c r="I97" s="48" t="n">
        <v>0.1</v>
      </c>
      <c r="J97" s="8" t="n">
        <f aca="false">IFERROR(VLOOKUP(F97,工料机价格!$A$4:$F$45,6,FALSE()),0)</f>
        <v>300</v>
      </c>
      <c r="K97" s="19" t="n">
        <f aca="false">I97*J97</f>
        <v>30</v>
      </c>
      <c r="L97" s="19" t="n">
        <f aca="false">IF(E97="人工",K97,0)</f>
        <v>30</v>
      </c>
      <c r="M97" s="19" t="n">
        <f aca="false">IF(E97="材料",K97,0)</f>
        <v>0</v>
      </c>
      <c r="N97" s="19" t="n">
        <f aca="false">IF(OR(E97="机械",E97="外委"),K97,0)</f>
        <v>0</v>
      </c>
      <c r="O97" s="17" t="s">
        <v>492</v>
      </c>
      <c r="P97" s="15"/>
    </row>
    <row r="98" customFormat="false" ht="18" hidden="false" customHeight="true" outlineLevel="0" collapsed="false">
      <c r="A98" s="21" t="s">
        <v>493</v>
      </c>
      <c r="B98" s="21" t="s">
        <v>89</v>
      </c>
      <c r="C98" s="10" t="s">
        <v>90</v>
      </c>
      <c r="D98" s="21" t="s">
        <v>59</v>
      </c>
      <c r="E98" s="21" t="s">
        <v>277</v>
      </c>
      <c r="F98" s="22" t="s">
        <v>494</v>
      </c>
      <c r="G98" s="10" t="s">
        <v>495</v>
      </c>
      <c r="H98" s="21" t="s">
        <v>496</v>
      </c>
      <c r="I98" s="48" t="n">
        <v>0.07</v>
      </c>
      <c r="J98" s="8" t="n">
        <f aca="false">IFERROR(VLOOKUP(F98,工料机价格!$A$4:$F$45,6,FALSE()),0)</f>
        <v>330</v>
      </c>
      <c r="K98" s="24" t="n">
        <f aca="false">I98*J98</f>
        <v>23.1</v>
      </c>
      <c r="L98" s="24" t="n">
        <f aca="false">IF(E98="人工",K98,0)</f>
        <v>0</v>
      </c>
      <c r="M98" s="24" t="n">
        <f aca="false">IF(E98="材料",K98,0)</f>
        <v>23.1</v>
      </c>
      <c r="N98" s="24" t="n">
        <f aca="false">IF(OR(E98="机械",E98="外委"),K98,0)</f>
        <v>0</v>
      </c>
      <c r="O98" s="23" t="s">
        <v>497</v>
      </c>
      <c r="P98" s="21"/>
    </row>
    <row r="99" customFormat="false" ht="18" hidden="false" customHeight="true" outlineLevel="0" collapsed="false">
      <c r="A99" s="15" t="s">
        <v>498</v>
      </c>
      <c r="B99" s="15" t="s">
        <v>89</v>
      </c>
      <c r="C99" s="7" t="s">
        <v>90</v>
      </c>
      <c r="D99" s="15" t="s">
        <v>59</v>
      </c>
      <c r="E99" s="15" t="s">
        <v>277</v>
      </c>
      <c r="F99" s="16" t="s">
        <v>499</v>
      </c>
      <c r="G99" s="7" t="s">
        <v>500</v>
      </c>
      <c r="H99" s="15" t="s">
        <v>136</v>
      </c>
      <c r="I99" s="48" t="n">
        <v>0.06</v>
      </c>
      <c r="J99" s="8" t="n">
        <f aca="false">IFERROR(VLOOKUP(F99,工料机价格!$A$4:$F$45,6,FALSE()),0)</f>
        <v>215</v>
      </c>
      <c r="K99" s="19" t="n">
        <f aca="false">I99*J99</f>
        <v>12.9</v>
      </c>
      <c r="L99" s="19" t="n">
        <f aca="false">IF(E99="人工",K99,0)</f>
        <v>0</v>
      </c>
      <c r="M99" s="19" t="n">
        <f aca="false">IF(E99="材料",K99,0)</f>
        <v>12.9</v>
      </c>
      <c r="N99" s="19" t="n">
        <f aca="false">IF(OR(E99="机械",E99="外委"),K99,0)</f>
        <v>0</v>
      </c>
      <c r="O99" s="17" t="s">
        <v>492</v>
      </c>
      <c r="P99" s="15"/>
    </row>
    <row r="100" customFormat="false" ht="18" hidden="false" customHeight="true" outlineLevel="0" collapsed="false">
      <c r="A100" s="21" t="s">
        <v>501</v>
      </c>
      <c r="B100" s="21" t="s">
        <v>89</v>
      </c>
      <c r="C100" s="10" t="s">
        <v>90</v>
      </c>
      <c r="D100" s="21" t="s">
        <v>59</v>
      </c>
      <c r="E100" s="21" t="s">
        <v>277</v>
      </c>
      <c r="F100" s="22" t="s">
        <v>299</v>
      </c>
      <c r="G100" s="10" t="s">
        <v>300</v>
      </c>
      <c r="H100" s="21" t="s">
        <v>114</v>
      </c>
      <c r="I100" s="48" t="n">
        <v>0.04</v>
      </c>
      <c r="J100" s="8" t="n">
        <f aca="false">IFERROR(VLOOKUP(F100,工料机价格!$A$4:$F$45,6,FALSE()),0)</f>
        <v>345</v>
      </c>
      <c r="K100" s="24" t="n">
        <f aca="false">I100*J100</f>
        <v>13.8</v>
      </c>
      <c r="L100" s="24" t="n">
        <f aca="false">IF(E100="人工",K100,0)</f>
        <v>0</v>
      </c>
      <c r="M100" s="24" t="n">
        <f aca="false">IF(E100="材料",K100,0)</f>
        <v>13.8</v>
      </c>
      <c r="N100" s="24" t="n">
        <f aca="false">IF(OR(E100="机械",E100="外委"),K100,0)</f>
        <v>0</v>
      </c>
      <c r="O100" s="23" t="s">
        <v>502</v>
      </c>
      <c r="P100" s="21"/>
    </row>
    <row r="101" customFormat="false" ht="18" hidden="false" customHeight="true" outlineLevel="0" collapsed="false">
      <c r="A101" s="15" t="s">
        <v>503</v>
      </c>
      <c r="B101" s="15" t="s">
        <v>89</v>
      </c>
      <c r="C101" s="7" t="s">
        <v>90</v>
      </c>
      <c r="D101" s="15" t="s">
        <v>59</v>
      </c>
      <c r="E101" s="15" t="s">
        <v>278</v>
      </c>
      <c r="F101" s="16" t="s">
        <v>327</v>
      </c>
      <c r="G101" s="7" t="s">
        <v>328</v>
      </c>
      <c r="H101" s="15" t="s">
        <v>305</v>
      </c>
      <c r="I101" s="48" t="n">
        <v>0.003</v>
      </c>
      <c r="J101" s="8" t="n">
        <f aca="false">IFERROR(VLOOKUP(F101,工料机价格!$A$4:$F$45,6,FALSE()),0)</f>
        <v>1773.3</v>
      </c>
      <c r="K101" s="19" t="n">
        <f aca="false">I101*J101</f>
        <v>5.3199</v>
      </c>
      <c r="L101" s="19" t="n">
        <f aca="false">IF(E101="人工",K101,0)</f>
        <v>0</v>
      </c>
      <c r="M101" s="19" t="n">
        <f aca="false">IF(E101="材料",K101,0)</f>
        <v>0</v>
      </c>
      <c r="N101" s="19" t="n">
        <f aca="false">IF(OR(E101="机械",E101="外委"),K101,0)</f>
        <v>5.3199</v>
      </c>
      <c r="O101" s="17" t="s">
        <v>504</v>
      </c>
      <c r="P101" s="15"/>
    </row>
    <row r="102" customFormat="false" ht="21.75" hidden="false" customHeight="true" outlineLevel="0" collapsed="false">
      <c r="A102" s="6" t="n">
        <v>24</v>
      </c>
      <c r="B102" s="6" t="s">
        <v>94</v>
      </c>
      <c r="C102" s="44" t="s">
        <v>95</v>
      </c>
      <c r="D102" s="6" t="s">
        <v>65</v>
      </c>
      <c r="E102" s="6" t="s">
        <v>280</v>
      </c>
      <c r="F102" s="6"/>
      <c r="G102" s="6"/>
      <c r="H102" s="6"/>
      <c r="I102" s="6"/>
      <c r="J102" s="6"/>
      <c r="K102" s="45" t="n">
        <f aca="false">SUM(K103:K108)</f>
        <v>15486.8</v>
      </c>
      <c r="L102" s="46" t="n">
        <f aca="false">SUMIF(E103:E108,"人工",K103:K108)</f>
        <v>6100</v>
      </c>
      <c r="M102" s="46" t="n">
        <f aca="false">SUMIF(E103:E108,"材料",K103:K108)</f>
        <v>7613.5</v>
      </c>
      <c r="N102" s="46" t="n">
        <f aca="false">SUMIF(E103:E108,"机械",K103:K108)+SUMIF(E103:E108,"外委",K103:K108)</f>
        <v>1773.3</v>
      </c>
      <c r="O102" s="47" t="s">
        <v>505</v>
      </c>
      <c r="P102" s="45" t="n">
        <f aca="false">K102</f>
        <v>15486.8</v>
      </c>
    </row>
    <row r="103" customFormat="false" ht="18" hidden="false" customHeight="true" outlineLevel="0" collapsed="false">
      <c r="A103" s="15" t="s">
        <v>506</v>
      </c>
      <c r="B103" s="15" t="s">
        <v>94</v>
      </c>
      <c r="C103" s="7" t="s">
        <v>95</v>
      </c>
      <c r="D103" s="15" t="s">
        <v>65</v>
      </c>
      <c r="E103" s="15" t="s">
        <v>276</v>
      </c>
      <c r="F103" s="16" t="s">
        <v>288</v>
      </c>
      <c r="G103" s="7" t="s">
        <v>289</v>
      </c>
      <c r="H103" s="15" t="s">
        <v>285</v>
      </c>
      <c r="I103" s="48" t="n">
        <v>18</v>
      </c>
      <c r="J103" s="8" t="n">
        <f aca="false">IFERROR(VLOOKUP(F103,工料机价格!$A$4:$F$45,6,FALSE()),0)</f>
        <v>300</v>
      </c>
      <c r="K103" s="19" t="n">
        <f aca="false">I103*J103</f>
        <v>5400</v>
      </c>
      <c r="L103" s="19" t="n">
        <f aca="false">IF(E103="人工",K103,0)</f>
        <v>5400</v>
      </c>
      <c r="M103" s="19" t="n">
        <f aca="false">IF(E103="材料",K103,0)</f>
        <v>0</v>
      </c>
      <c r="N103" s="19" t="n">
        <f aca="false">IF(OR(E103="机械",E103="外委"),K103,0)</f>
        <v>0</v>
      </c>
      <c r="O103" s="17" t="s">
        <v>492</v>
      </c>
      <c r="P103" s="15"/>
    </row>
    <row r="104" customFormat="false" ht="18" hidden="false" customHeight="true" outlineLevel="0" collapsed="false">
      <c r="A104" s="21" t="s">
        <v>507</v>
      </c>
      <c r="B104" s="21" t="s">
        <v>94</v>
      </c>
      <c r="C104" s="10" t="s">
        <v>95</v>
      </c>
      <c r="D104" s="21" t="s">
        <v>65</v>
      </c>
      <c r="E104" s="21" t="s">
        <v>276</v>
      </c>
      <c r="F104" s="22" t="s">
        <v>283</v>
      </c>
      <c r="G104" s="10" t="s">
        <v>284</v>
      </c>
      <c r="H104" s="21" t="s">
        <v>285</v>
      </c>
      <c r="I104" s="48" t="n">
        <v>2</v>
      </c>
      <c r="J104" s="8" t="n">
        <f aca="false">IFERROR(VLOOKUP(F104,工料机价格!$A$4:$F$45,6,FALSE()),0)</f>
        <v>350</v>
      </c>
      <c r="K104" s="24" t="n">
        <f aca="false">I104*J104</f>
        <v>700</v>
      </c>
      <c r="L104" s="24" t="n">
        <f aca="false">IF(E104="人工",K104,0)</f>
        <v>700</v>
      </c>
      <c r="M104" s="24" t="n">
        <f aca="false">IF(E104="材料",K104,0)</f>
        <v>0</v>
      </c>
      <c r="N104" s="24" t="n">
        <f aca="false">IF(OR(E104="机械",E104="外委"),K104,0)</f>
        <v>0</v>
      </c>
      <c r="O104" s="23" t="s">
        <v>508</v>
      </c>
      <c r="P104" s="21"/>
    </row>
    <row r="105" customFormat="false" ht="18" hidden="false" customHeight="true" outlineLevel="0" collapsed="false">
      <c r="A105" s="15" t="s">
        <v>509</v>
      </c>
      <c r="B105" s="15" t="s">
        <v>94</v>
      </c>
      <c r="C105" s="7" t="s">
        <v>95</v>
      </c>
      <c r="D105" s="15" t="s">
        <v>65</v>
      </c>
      <c r="E105" s="15" t="s">
        <v>277</v>
      </c>
      <c r="F105" s="16" t="s">
        <v>510</v>
      </c>
      <c r="G105" s="7" t="s">
        <v>511</v>
      </c>
      <c r="H105" s="15" t="s">
        <v>65</v>
      </c>
      <c r="I105" s="48" t="n">
        <v>1</v>
      </c>
      <c r="J105" s="8" t="n">
        <f aca="false">IFERROR(VLOOKUP(F105,工料机价格!$A$4:$F$45,6,FALSE()),0)</f>
        <v>4103.5</v>
      </c>
      <c r="K105" s="19" t="n">
        <f aca="false">I105*J105</f>
        <v>4103.5</v>
      </c>
      <c r="L105" s="19" t="n">
        <f aca="false">IF(E105="人工",K105,0)</f>
        <v>0</v>
      </c>
      <c r="M105" s="19" t="n">
        <f aca="false">IF(E105="材料",K105,0)</f>
        <v>4103.5</v>
      </c>
      <c r="N105" s="19" t="n">
        <f aca="false">IF(OR(E105="机械",E105="外委"),K105,0)</f>
        <v>0</v>
      </c>
      <c r="O105" s="17" t="s">
        <v>319</v>
      </c>
      <c r="P105" s="15"/>
    </row>
    <row r="106" customFormat="false" ht="18" hidden="false" customHeight="true" outlineLevel="0" collapsed="false">
      <c r="A106" s="21" t="s">
        <v>512</v>
      </c>
      <c r="B106" s="21" t="s">
        <v>94</v>
      </c>
      <c r="C106" s="10" t="s">
        <v>95</v>
      </c>
      <c r="D106" s="21" t="s">
        <v>65</v>
      </c>
      <c r="E106" s="21" t="s">
        <v>277</v>
      </c>
      <c r="F106" s="22" t="s">
        <v>323</v>
      </c>
      <c r="G106" s="10" t="s">
        <v>324</v>
      </c>
      <c r="H106" s="21" t="s">
        <v>76</v>
      </c>
      <c r="I106" s="48" t="n">
        <v>120</v>
      </c>
      <c r="J106" s="8" t="n">
        <f aca="false">IFERROR(VLOOKUP(F106,工料机价格!$A$4:$F$45,6,FALSE()),0)</f>
        <v>12</v>
      </c>
      <c r="K106" s="24" t="n">
        <f aca="false">I106*J106</f>
        <v>1440</v>
      </c>
      <c r="L106" s="24" t="n">
        <f aca="false">IF(E106="人工",K106,0)</f>
        <v>0</v>
      </c>
      <c r="M106" s="24" t="n">
        <f aca="false">IF(E106="材料",K106,0)</f>
        <v>1440</v>
      </c>
      <c r="N106" s="24" t="n">
        <f aca="false">IF(OR(E106="机械",E106="外委"),K106,0)</f>
        <v>0</v>
      </c>
      <c r="O106" s="23" t="s">
        <v>513</v>
      </c>
      <c r="P106" s="21"/>
    </row>
    <row r="107" customFormat="false" ht="18" hidden="false" customHeight="true" outlineLevel="0" collapsed="false">
      <c r="A107" s="15" t="s">
        <v>514</v>
      </c>
      <c r="B107" s="15" t="s">
        <v>94</v>
      </c>
      <c r="C107" s="7" t="s">
        <v>95</v>
      </c>
      <c r="D107" s="15" t="s">
        <v>65</v>
      </c>
      <c r="E107" s="15" t="s">
        <v>277</v>
      </c>
      <c r="F107" s="16" t="s">
        <v>299</v>
      </c>
      <c r="G107" s="7" t="s">
        <v>300</v>
      </c>
      <c r="H107" s="15" t="s">
        <v>114</v>
      </c>
      <c r="I107" s="48" t="n">
        <v>6</v>
      </c>
      <c r="J107" s="8" t="n">
        <f aca="false">IFERROR(VLOOKUP(F107,工料机价格!$A$4:$F$45,6,FALSE()),0)</f>
        <v>345</v>
      </c>
      <c r="K107" s="19" t="n">
        <f aca="false">I107*J107</f>
        <v>2070</v>
      </c>
      <c r="L107" s="19" t="n">
        <f aca="false">IF(E107="人工",K107,0)</f>
        <v>0</v>
      </c>
      <c r="M107" s="19" t="n">
        <f aca="false">IF(E107="材料",K107,0)</f>
        <v>2070</v>
      </c>
      <c r="N107" s="19" t="n">
        <f aca="false">IF(OR(E107="机械",E107="外委"),K107,0)</f>
        <v>0</v>
      </c>
      <c r="O107" s="17" t="s">
        <v>515</v>
      </c>
      <c r="P107" s="15"/>
    </row>
    <row r="108" customFormat="false" ht="18" hidden="false" customHeight="true" outlineLevel="0" collapsed="false">
      <c r="A108" s="21" t="s">
        <v>516</v>
      </c>
      <c r="B108" s="21" t="s">
        <v>94</v>
      </c>
      <c r="C108" s="10" t="s">
        <v>95</v>
      </c>
      <c r="D108" s="21" t="s">
        <v>65</v>
      </c>
      <c r="E108" s="21" t="s">
        <v>278</v>
      </c>
      <c r="F108" s="22" t="s">
        <v>327</v>
      </c>
      <c r="G108" s="10" t="s">
        <v>328</v>
      </c>
      <c r="H108" s="21" t="s">
        <v>305</v>
      </c>
      <c r="I108" s="48" t="n">
        <v>1</v>
      </c>
      <c r="J108" s="8" t="n">
        <f aca="false">IFERROR(VLOOKUP(F108,工料机价格!$A$4:$F$45,6,FALSE()),0)</f>
        <v>1773.3</v>
      </c>
      <c r="K108" s="24" t="n">
        <f aca="false">I108*J108</f>
        <v>1773.3</v>
      </c>
      <c r="L108" s="24" t="n">
        <f aca="false">IF(E108="人工",K108,0)</f>
        <v>0</v>
      </c>
      <c r="M108" s="24" t="n">
        <f aca="false">IF(E108="材料",K108,0)</f>
        <v>0</v>
      </c>
      <c r="N108" s="24" t="n">
        <f aca="false">IF(OR(E108="机械",E108="外委"),K108,0)</f>
        <v>1773.3</v>
      </c>
      <c r="O108" s="23" t="s">
        <v>329</v>
      </c>
      <c r="P108" s="21"/>
    </row>
    <row r="109" customFormat="false" ht="21.75" hidden="false" customHeight="true" outlineLevel="0" collapsed="false">
      <c r="A109" s="6" t="n">
        <v>25</v>
      </c>
      <c r="B109" s="6" t="s">
        <v>99</v>
      </c>
      <c r="C109" s="44" t="s">
        <v>100</v>
      </c>
      <c r="D109" s="6" t="s">
        <v>102</v>
      </c>
      <c r="E109" s="6" t="s">
        <v>280</v>
      </c>
      <c r="F109" s="6"/>
      <c r="G109" s="6"/>
      <c r="H109" s="6"/>
      <c r="I109" s="6"/>
      <c r="J109" s="6"/>
      <c r="K109" s="45" t="n">
        <f aca="false">SUM(K110:K112)</f>
        <v>242.25</v>
      </c>
      <c r="L109" s="46" t="n">
        <f aca="false">SUMIF(E110:E112,"人工",K110:K112)</f>
        <v>45</v>
      </c>
      <c r="M109" s="46" t="n">
        <f aca="false">SUMIF(E110:E112,"材料",K110:K112)</f>
        <v>197.25</v>
      </c>
      <c r="N109" s="46" t="n">
        <f aca="false">SUMIF(E110:E112,"机械",K110:K112)+SUMIF(E110:E112,"外委",K110:K112)</f>
        <v>0</v>
      </c>
      <c r="O109" s="47" t="s">
        <v>517</v>
      </c>
      <c r="P109" s="45" t="n">
        <f aca="false">K109</f>
        <v>242.25</v>
      </c>
    </row>
    <row r="110" customFormat="false" ht="18" hidden="false" customHeight="true" outlineLevel="0" collapsed="false">
      <c r="A110" s="15" t="s">
        <v>518</v>
      </c>
      <c r="B110" s="15" t="s">
        <v>99</v>
      </c>
      <c r="C110" s="7" t="s">
        <v>100</v>
      </c>
      <c r="D110" s="15" t="s">
        <v>102</v>
      </c>
      <c r="E110" s="15" t="s">
        <v>277</v>
      </c>
      <c r="F110" s="16" t="s">
        <v>519</v>
      </c>
      <c r="G110" s="7" t="s">
        <v>100</v>
      </c>
      <c r="H110" s="15" t="s">
        <v>102</v>
      </c>
      <c r="I110" s="48" t="n">
        <v>1</v>
      </c>
      <c r="J110" s="8" t="n">
        <f aca="false">IFERROR(VLOOKUP(F110,工料机价格!$A$4:$F$45,6,FALSE()),0)</f>
        <v>180</v>
      </c>
      <c r="K110" s="19" t="n">
        <f aca="false">I110*J110</f>
        <v>180</v>
      </c>
      <c r="L110" s="19" t="n">
        <f aca="false">IF(E110="人工",K110,0)</f>
        <v>0</v>
      </c>
      <c r="M110" s="19" t="n">
        <f aca="false">IF(E110="材料",K110,0)</f>
        <v>180</v>
      </c>
      <c r="N110" s="19" t="n">
        <f aca="false">IF(OR(E110="机械",E110="外委"),K110,0)</f>
        <v>0</v>
      </c>
      <c r="O110" s="17" t="s">
        <v>520</v>
      </c>
      <c r="P110" s="15"/>
    </row>
    <row r="111" customFormat="false" ht="18" hidden="false" customHeight="true" outlineLevel="0" collapsed="false">
      <c r="A111" s="21" t="s">
        <v>521</v>
      </c>
      <c r="B111" s="21" t="s">
        <v>99</v>
      </c>
      <c r="C111" s="10" t="s">
        <v>100</v>
      </c>
      <c r="D111" s="21" t="s">
        <v>102</v>
      </c>
      <c r="E111" s="21" t="s">
        <v>276</v>
      </c>
      <c r="F111" s="22" t="s">
        <v>288</v>
      </c>
      <c r="G111" s="10" t="s">
        <v>289</v>
      </c>
      <c r="H111" s="21" t="s">
        <v>285</v>
      </c>
      <c r="I111" s="48" t="n">
        <v>0.15</v>
      </c>
      <c r="J111" s="8" t="n">
        <f aca="false">IFERROR(VLOOKUP(F111,工料机价格!$A$4:$F$45,6,FALSE()),0)</f>
        <v>300</v>
      </c>
      <c r="K111" s="24" t="n">
        <f aca="false">I111*J111</f>
        <v>45</v>
      </c>
      <c r="L111" s="24" t="n">
        <f aca="false">IF(E111="人工",K111,0)</f>
        <v>45</v>
      </c>
      <c r="M111" s="24" t="n">
        <f aca="false">IF(E111="材料",K111,0)</f>
        <v>0</v>
      </c>
      <c r="N111" s="24" t="n">
        <f aca="false">IF(OR(E111="机械",E111="外委"),K111,0)</f>
        <v>0</v>
      </c>
      <c r="O111" s="23" t="s">
        <v>522</v>
      </c>
      <c r="P111" s="21"/>
    </row>
    <row r="112" customFormat="false" ht="18" hidden="false" customHeight="true" outlineLevel="0" collapsed="false">
      <c r="A112" s="15" t="s">
        <v>523</v>
      </c>
      <c r="B112" s="15" t="s">
        <v>99</v>
      </c>
      <c r="C112" s="7" t="s">
        <v>100</v>
      </c>
      <c r="D112" s="15" t="s">
        <v>102</v>
      </c>
      <c r="E112" s="15" t="s">
        <v>277</v>
      </c>
      <c r="F112" s="16" t="s">
        <v>299</v>
      </c>
      <c r="G112" s="7" t="s">
        <v>300</v>
      </c>
      <c r="H112" s="15" t="s">
        <v>114</v>
      </c>
      <c r="I112" s="48" t="n">
        <v>0.05</v>
      </c>
      <c r="J112" s="8" t="n">
        <f aca="false">IFERROR(VLOOKUP(F112,工料机价格!$A$4:$F$45,6,FALSE()),0)</f>
        <v>345</v>
      </c>
      <c r="K112" s="19" t="n">
        <f aca="false">I112*J112</f>
        <v>17.25</v>
      </c>
      <c r="L112" s="19" t="n">
        <f aca="false">IF(E112="人工",K112,0)</f>
        <v>0</v>
      </c>
      <c r="M112" s="19" t="n">
        <f aca="false">IF(E112="材料",K112,0)</f>
        <v>17.25</v>
      </c>
      <c r="N112" s="19" t="n">
        <f aca="false">IF(OR(E112="机械",E112="外委"),K112,0)</f>
        <v>0</v>
      </c>
      <c r="O112" s="17" t="s">
        <v>338</v>
      </c>
      <c r="P112" s="15"/>
    </row>
    <row r="113" customFormat="false" ht="21.75" hidden="false" customHeight="true" outlineLevel="0" collapsed="false">
      <c r="A113" s="6" t="n">
        <v>26</v>
      </c>
      <c r="B113" s="6" t="s">
        <v>178</v>
      </c>
      <c r="C113" s="44" t="s">
        <v>179</v>
      </c>
      <c r="D113" s="6" t="s">
        <v>53</v>
      </c>
      <c r="E113" s="6" t="s">
        <v>280</v>
      </c>
      <c r="F113" s="6"/>
      <c r="G113" s="6"/>
      <c r="H113" s="6"/>
      <c r="I113" s="6"/>
      <c r="J113" s="6"/>
      <c r="K113" s="45" t="n">
        <f aca="false">SUM(K114:K115)</f>
        <v>100740</v>
      </c>
      <c r="L113" s="46" t="n">
        <f aca="false">SUMIF(E114:E115,"人工",K114:K115)</f>
        <v>36000</v>
      </c>
      <c r="M113" s="46" t="n">
        <f aca="false">SUMIF(E114:E115,"材料",K114:K115)</f>
        <v>0</v>
      </c>
      <c r="N113" s="46" t="n">
        <f aca="false">SUMIF(E114:E115,"机械",K114:K115)+SUMIF(E114:E115,"外委",K114:K115)</f>
        <v>64740</v>
      </c>
      <c r="O113" s="47" t="s">
        <v>524</v>
      </c>
      <c r="P113" s="45" t="n">
        <f aca="false">K113</f>
        <v>100740</v>
      </c>
    </row>
    <row r="114" customFormat="false" ht="18" hidden="false" customHeight="true" outlineLevel="0" collapsed="false">
      <c r="A114" s="15" t="s">
        <v>525</v>
      </c>
      <c r="B114" s="15" t="s">
        <v>178</v>
      </c>
      <c r="C114" s="7" t="s">
        <v>179</v>
      </c>
      <c r="D114" s="15" t="s">
        <v>53</v>
      </c>
      <c r="E114" s="15" t="s">
        <v>276</v>
      </c>
      <c r="F114" s="16" t="s">
        <v>288</v>
      </c>
      <c r="G114" s="7" t="s">
        <v>289</v>
      </c>
      <c r="H114" s="15" t="s">
        <v>285</v>
      </c>
      <c r="I114" s="48" t="n">
        <v>120</v>
      </c>
      <c r="J114" s="8" t="n">
        <f aca="false">IFERROR(VLOOKUP(F114,工料机价格!$A$4:$F$45,6,FALSE()),0)</f>
        <v>300</v>
      </c>
      <c r="K114" s="19" t="n">
        <f aca="false">I114*J114</f>
        <v>36000</v>
      </c>
      <c r="L114" s="19" t="n">
        <f aca="false">IF(E114="人工",K114,0)</f>
        <v>36000</v>
      </c>
      <c r="M114" s="19" t="n">
        <f aca="false">IF(E114="材料",K114,0)</f>
        <v>0</v>
      </c>
      <c r="N114" s="19" t="n">
        <f aca="false">IF(OR(E114="机械",E114="外委"),K114,0)</f>
        <v>0</v>
      </c>
      <c r="O114" s="17" t="s">
        <v>526</v>
      </c>
      <c r="P114" s="15"/>
    </row>
    <row r="115" customFormat="false" ht="18" hidden="false" customHeight="true" outlineLevel="0" collapsed="false">
      <c r="A115" s="21" t="s">
        <v>527</v>
      </c>
      <c r="B115" s="21" t="s">
        <v>178</v>
      </c>
      <c r="C115" s="10" t="s">
        <v>179</v>
      </c>
      <c r="D115" s="21" t="s">
        <v>53</v>
      </c>
      <c r="E115" s="21" t="s">
        <v>278</v>
      </c>
      <c r="F115" s="22" t="s">
        <v>528</v>
      </c>
      <c r="G115" s="10" t="s">
        <v>529</v>
      </c>
      <c r="H115" s="21" t="s">
        <v>305</v>
      </c>
      <c r="I115" s="48" t="n">
        <v>80</v>
      </c>
      <c r="J115" s="8" t="n">
        <f aca="false">IFERROR(VLOOKUP(F115,工料机价格!$A$4:$F$45,6,FALSE()),0)</f>
        <v>809.25</v>
      </c>
      <c r="K115" s="24" t="n">
        <f aca="false">I115*J115</f>
        <v>64740</v>
      </c>
      <c r="L115" s="24" t="n">
        <f aca="false">IF(E115="人工",K115,0)</f>
        <v>0</v>
      </c>
      <c r="M115" s="24" t="n">
        <f aca="false">IF(E115="材料",K115,0)</f>
        <v>0</v>
      </c>
      <c r="N115" s="24" t="n">
        <f aca="false">IF(OR(E115="机械",E115="外委"),K115,0)</f>
        <v>64740</v>
      </c>
      <c r="O115" s="23" t="s">
        <v>530</v>
      </c>
      <c r="P115" s="21"/>
    </row>
    <row r="116" customFormat="false" ht="21.75" hidden="false" customHeight="true" outlineLevel="0" collapsed="false">
      <c r="A116" s="6" t="n">
        <v>27</v>
      </c>
      <c r="B116" s="6" t="s">
        <v>105</v>
      </c>
      <c r="C116" s="44" t="s">
        <v>106</v>
      </c>
      <c r="D116" s="6" t="s">
        <v>53</v>
      </c>
      <c r="E116" s="6" t="s">
        <v>280</v>
      </c>
      <c r="F116" s="6"/>
      <c r="G116" s="6"/>
      <c r="H116" s="6"/>
      <c r="I116" s="6"/>
      <c r="J116" s="6"/>
      <c r="K116" s="45" t="n">
        <f aca="false">SUM(K117:K119)</f>
        <v>11765.8</v>
      </c>
      <c r="L116" s="46" t="n">
        <f aca="false">SUMIF(E117:E119,"人工",K117:K119)</f>
        <v>1400</v>
      </c>
      <c r="M116" s="46" t="n">
        <f aca="false">SUMIF(E117:E119,"材料",K117:K119)</f>
        <v>0</v>
      </c>
      <c r="N116" s="46" t="n">
        <f aca="false">SUMIF(E117:E119,"机械",K117:K119)+SUMIF(E117:E119,"外委",K117:K119)</f>
        <v>10365.8</v>
      </c>
      <c r="O116" s="47" t="s">
        <v>531</v>
      </c>
      <c r="P116" s="45" t="n">
        <f aca="false">K116</f>
        <v>11765.8</v>
      </c>
    </row>
    <row r="117" customFormat="false" ht="18" hidden="false" customHeight="true" outlineLevel="0" collapsed="false">
      <c r="A117" s="15" t="s">
        <v>532</v>
      </c>
      <c r="B117" s="15" t="s">
        <v>105</v>
      </c>
      <c r="C117" s="7" t="s">
        <v>106</v>
      </c>
      <c r="D117" s="15" t="s">
        <v>53</v>
      </c>
      <c r="E117" s="15" t="s">
        <v>278</v>
      </c>
      <c r="F117" s="16" t="s">
        <v>373</v>
      </c>
      <c r="G117" s="7" t="s">
        <v>374</v>
      </c>
      <c r="H117" s="15" t="s">
        <v>305</v>
      </c>
      <c r="I117" s="48" t="n">
        <v>6</v>
      </c>
      <c r="J117" s="8" t="n">
        <f aca="false">IFERROR(VLOOKUP(F117,工料机价格!$A$4:$F$45,6,FALSE()),0)</f>
        <v>1136.65</v>
      </c>
      <c r="K117" s="19" t="n">
        <f aca="false">I117*J117</f>
        <v>6819.9</v>
      </c>
      <c r="L117" s="19" t="n">
        <f aca="false">IF(E117="人工",K117,0)</f>
        <v>0</v>
      </c>
      <c r="M117" s="19" t="n">
        <f aca="false">IF(E117="材料",K117,0)</f>
        <v>0</v>
      </c>
      <c r="N117" s="19" t="n">
        <f aca="false">IF(OR(E117="机械",E117="外委"),K117,0)</f>
        <v>6819.9</v>
      </c>
      <c r="O117" s="17" t="s">
        <v>533</v>
      </c>
      <c r="P117" s="15"/>
    </row>
    <row r="118" customFormat="false" ht="18" hidden="false" customHeight="true" outlineLevel="0" collapsed="false">
      <c r="A118" s="21" t="s">
        <v>534</v>
      </c>
      <c r="B118" s="21" t="s">
        <v>105</v>
      </c>
      <c r="C118" s="10" t="s">
        <v>106</v>
      </c>
      <c r="D118" s="21" t="s">
        <v>53</v>
      </c>
      <c r="E118" s="21" t="s">
        <v>278</v>
      </c>
      <c r="F118" s="22" t="s">
        <v>340</v>
      </c>
      <c r="G118" s="10" t="s">
        <v>341</v>
      </c>
      <c r="H118" s="21" t="s">
        <v>305</v>
      </c>
      <c r="I118" s="48" t="n">
        <v>2</v>
      </c>
      <c r="J118" s="8" t="n">
        <f aca="false">IFERROR(VLOOKUP(F118,工料机价格!$A$4:$F$45,6,FALSE()),0)</f>
        <v>1772.95</v>
      </c>
      <c r="K118" s="24" t="n">
        <f aca="false">I118*J118</f>
        <v>3545.9</v>
      </c>
      <c r="L118" s="24" t="n">
        <f aca="false">IF(E118="人工",K118,0)</f>
        <v>0</v>
      </c>
      <c r="M118" s="24" t="n">
        <f aca="false">IF(E118="材料",K118,0)</f>
        <v>0</v>
      </c>
      <c r="N118" s="24" t="n">
        <f aca="false">IF(OR(E118="机械",E118="外委"),K118,0)</f>
        <v>3545.9</v>
      </c>
      <c r="O118" s="23" t="s">
        <v>332</v>
      </c>
      <c r="P118" s="21"/>
    </row>
    <row r="119" customFormat="false" ht="18" hidden="false" customHeight="true" outlineLevel="0" collapsed="false">
      <c r="A119" s="15" t="s">
        <v>535</v>
      </c>
      <c r="B119" s="15" t="s">
        <v>105</v>
      </c>
      <c r="C119" s="7" t="s">
        <v>106</v>
      </c>
      <c r="D119" s="15" t="s">
        <v>53</v>
      </c>
      <c r="E119" s="15" t="s">
        <v>276</v>
      </c>
      <c r="F119" s="16" t="s">
        <v>283</v>
      </c>
      <c r="G119" s="7" t="s">
        <v>284</v>
      </c>
      <c r="H119" s="15" t="s">
        <v>285</v>
      </c>
      <c r="I119" s="48" t="n">
        <v>4</v>
      </c>
      <c r="J119" s="8" t="n">
        <f aca="false">IFERROR(VLOOKUP(F119,工料机价格!$A$4:$F$45,6,FALSE()),0)</f>
        <v>350</v>
      </c>
      <c r="K119" s="19" t="n">
        <f aca="false">I119*J119</f>
        <v>1400</v>
      </c>
      <c r="L119" s="19" t="n">
        <f aca="false">IF(E119="人工",K119,0)</f>
        <v>1400</v>
      </c>
      <c r="M119" s="19" t="n">
        <f aca="false">IF(E119="材料",K119,0)</f>
        <v>0</v>
      </c>
      <c r="N119" s="19" t="n">
        <f aca="false">IF(OR(E119="机械",E119="外委"),K119,0)</f>
        <v>0</v>
      </c>
      <c r="O119" s="17" t="s">
        <v>536</v>
      </c>
      <c r="P119" s="15"/>
    </row>
    <row r="120" customFormat="false" ht="21.75" hidden="false" customHeight="true" outlineLevel="0" collapsed="false">
      <c r="A120" s="6" t="n">
        <v>28</v>
      </c>
      <c r="B120" s="6" t="s">
        <v>195</v>
      </c>
      <c r="C120" s="44" t="s">
        <v>196</v>
      </c>
      <c r="D120" s="6" t="s">
        <v>198</v>
      </c>
      <c r="E120" s="6" t="s">
        <v>280</v>
      </c>
      <c r="F120" s="6"/>
      <c r="G120" s="6"/>
      <c r="H120" s="6"/>
      <c r="I120" s="6"/>
      <c r="J120" s="6"/>
      <c r="K120" s="45" t="n">
        <f aca="false">SUM(K121)</f>
        <v>750</v>
      </c>
      <c r="L120" s="46" t="n">
        <f aca="false">SUMIF(E121,"人工",K121)</f>
        <v>0</v>
      </c>
      <c r="M120" s="46" t="n">
        <f aca="false">SUMIF(E121,"材料",K121)</f>
        <v>0</v>
      </c>
      <c r="N120" s="46" t="n">
        <f aca="false">SUMIF(E121,"机械",K121)+SUMIF(E121,"外委",K121)</f>
        <v>750</v>
      </c>
      <c r="O120" s="47" t="s">
        <v>537</v>
      </c>
      <c r="P120" s="45" t="n">
        <f aca="false">K120</f>
        <v>750</v>
      </c>
    </row>
    <row r="121" customFormat="false" ht="18" hidden="false" customHeight="true" outlineLevel="0" collapsed="false">
      <c r="A121" s="15" t="s">
        <v>538</v>
      </c>
      <c r="B121" s="15" t="s">
        <v>195</v>
      </c>
      <c r="C121" s="7" t="s">
        <v>196</v>
      </c>
      <c r="D121" s="15" t="s">
        <v>198</v>
      </c>
      <c r="E121" s="15" t="s">
        <v>197</v>
      </c>
      <c r="F121" s="16" t="s">
        <v>539</v>
      </c>
      <c r="G121" s="7" t="s">
        <v>540</v>
      </c>
      <c r="H121" s="15" t="s">
        <v>198</v>
      </c>
      <c r="I121" s="48" t="n">
        <v>1</v>
      </c>
      <c r="J121" s="8" t="n">
        <f aca="false">IFERROR(VLOOKUP(F121,工料机价格!$A$4:$F$45,6,FALSE()),0)</f>
        <v>750</v>
      </c>
      <c r="K121" s="19" t="n">
        <f aca="false">I121*J121</f>
        <v>750</v>
      </c>
      <c r="L121" s="19" t="n">
        <f aca="false">IF(E121="人工",K121,0)</f>
        <v>0</v>
      </c>
      <c r="M121" s="19" t="n">
        <f aca="false">IF(E121="材料",K121,0)</f>
        <v>0</v>
      </c>
      <c r="N121" s="19" t="n">
        <f aca="false">IF(OR(E121="机械",E121="外委"),K121,0)</f>
        <v>750</v>
      </c>
      <c r="O121" s="17" t="s">
        <v>541</v>
      </c>
      <c r="P121" s="15"/>
    </row>
    <row r="122" customFormat="false" ht="21.75" hidden="false" customHeight="true" outlineLevel="0" collapsed="false">
      <c r="A122" s="6" t="n">
        <v>29</v>
      </c>
      <c r="B122" s="6" t="s">
        <v>201</v>
      </c>
      <c r="C122" s="44" t="s">
        <v>202</v>
      </c>
      <c r="D122" s="6" t="s">
        <v>198</v>
      </c>
      <c r="E122" s="6" t="s">
        <v>280</v>
      </c>
      <c r="F122" s="6"/>
      <c r="G122" s="6"/>
      <c r="H122" s="6"/>
      <c r="I122" s="6"/>
      <c r="J122" s="6"/>
      <c r="K122" s="45" t="n">
        <f aca="false">SUM(K123)</f>
        <v>200</v>
      </c>
      <c r="L122" s="46" t="n">
        <f aca="false">SUMIF(E123,"人工",K123)</f>
        <v>0</v>
      </c>
      <c r="M122" s="46" t="n">
        <f aca="false">SUMIF(E123,"材料",K123)</f>
        <v>0</v>
      </c>
      <c r="N122" s="46" t="n">
        <f aca="false">SUMIF(E123,"机械",K123)+SUMIF(E123,"外委",K123)</f>
        <v>200</v>
      </c>
      <c r="O122" s="47" t="s">
        <v>542</v>
      </c>
      <c r="P122" s="45" t="n">
        <f aca="false">K122</f>
        <v>200</v>
      </c>
    </row>
    <row r="123" customFormat="false" ht="18" hidden="false" customHeight="true" outlineLevel="0" collapsed="false">
      <c r="A123" s="15" t="s">
        <v>543</v>
      </c>
      <c r="B123" s="15" t="s">
        <v>201</v>
      </c>
      <c r="C123" s="7" t="s">
        <v>202</v>
      </c>
      <c r="D123" s="15" t="s">
        <v>198</v>
      </c>
      <c r="E123" s="15" t="s">
        <v>197</v>
      </c>
      <c r="F123" s="16" t="s">
        <v>544</v>
      </c>
      <c r="G123" s="7" t="s">
        <v>545</v>
      </c>
      <c r="H123" s="15" t="s">
        <v>198</v>
      </c>
      <c r="I123" s="48" t="n">
        <v>1</v>
      </c>
      <c r="J123" s="8" t="n">
        <f aca="false">IFERROR(VLOOKUP(F123,工料机价格!$A$4:$F$45,6,FALSE()),0)</f>
        <v>200</v>
      </c>
      <c r="K123" s="19" t="n">
        <f aca="false">I123*J123</f>
        <v>200</v>
      </c>
      <c r="L123" s="19" t="n">
        <f aca="false">IF(E123="人工",K123,0)</f>
        <v>0</v>
      </c>
      <c r="M123" s="19" t="n">
        <f aca="false">IF(E123="材料",K123,0)</f>
        <v>0</v>
      </c>
      <c r="N123" s="19" t="n">
        <f aca="false">IF(OR(E123="机械",E123="外委"),K123,0)</f>
        <v>200</v>
      </c>
      <c r="O123" s="17" t="s">
        <v>541</v>
      </c>
      <c r="P123" s="15"/>
    </row>
    <row r="124" customFormat="false" ht="21.75" hidden="false" customHeight="true" outlineLevel="0" collapsed="false">
      <c r="A124" s="6" t="n">
        <v>30</v>
      </c>
      <c r="B124" s="6" t="s">
        <v>205</v>
      </c>
      <c r="C124" s="44" t="s">
        <v>206</v>
      </c>
      <c r="D124" s="6" t="s">
        <v>102</v>
      </c>
      <c r="E124" s="6" t="s">
        <v>280</v>
      </c>
      <c r="F124" s="6"/>
      <c r="G124" s="6"/>
      <c r="H124" s="6"/>
      <c r="I124" s="6"/>
      <c r="J124" s="6"/>
      <c r="K124" s="45" t="n">
        <f aca="false">SUM(K125)</f>
        <v>150</v>
      </c>
      <c r="L124" s="46" t="n">
        <f aca="false">SUMIF(E125,"人工",K125)</f>
        <v>0</v>
      </c>
      <c r="M124" s="46" t="n">
        <f aca="false">SUMIF(E125,"材料",K125)</f>
        <v>0</v>
      </c>
      <c r="N124" s="46" t="n">
        <f aca="false">SUMIF(E125,"机械",K125)+SUMIF(E125,"外委",K125)</f>
        <v>150</v>
      </c>
      <c r="O124" s="47" t="s">
        <v>546</v>
      </c>
      <c r="P124" s="45" t="n">
        <f aca="false">K124</f>
        <v>150</v>
      </c>
    </row>
    <row r="125" customFormat="false" ht="18" hidden="false" customHeight="true" outlineLevel="0" collapsed="false">
      <c r="A125" s="15" t="s">
        <v>547</v>
      </c>
      <c r="B125" s="15" t="s">
        <v>205</v>
      </c>
      <c r="C125" s="7" t="s">
        <v>206</v>
      </c>
      <c r="D125" s="15" t="s">
        <v>102</v>
      </c>
      <c r="E125" s="15" t="s">
        <v>197</v>
      </c>
      <c r="F125" s="16" t="s">
        <v>548</v>
      </c>
      <c r="G125" s="7" t="s">
        <v>549</v>
      </c>
      <c r="H125" s="15" t="s">
        <v>192</v>
      </c>
      <c r="I125" s="48" t="n">
        <v>1</v>
      </c>
      <c r="J125" s="8" t="n">
        <f aca="false">IFERROR(VLOOKUP(F125,工料机价格!$A$4:$F$45,6,FALSE()),0)</f>
        <v>150</v>
      </c>
      <c r="K125" s="19" t="n">
        <f aca="false">I125*J125</f>
        <v>150</v>
      </c>
      <c r="L125" s="19" t="n">
        <f aca="false">IF(E125="人工",K125,0)</f>
        <v>0</v>
      </c>
      <c r="M125" s="19" t="n">
        <f aca="false">IF(E125="材料",K125,0)</f>
        <v>0</v>
      </c>
      <c r="N125" s="19" t="n">
        <f aca="false">IF(OR(E125="机械",E125="外委"),K125,0)</f>
        <v>150</v>
      </c>
      <c r="O125" s="17" t="s">
        <v>550</v>
      </c>
      <c r="P125" s="15"/>
    </row>
    <row r="126" customFormat="false" ht="21.75" hidden="false" customHeight="true" outlineLevel="0" collapsed="false">
      <c r="A126" s="6" t="n">
        <v>31</v>
      </c>
      <c r="B126" s="6" t="s">
        <v>210</v>
      </c>
      <c r="C126" s="44" t="s">
        <v>211</v>
      </c>
      <c r="D126" s="6" t="s">
        <v>102</v>
      </c>
      <c r="E126" s="6" t="s">
        <v>280</v>
      </c>
      <c r="F126" s="6"/>
      <c r="G126" s="6"/>
      <c r="H126" s="6"/>
      <c r="I126" s="6"/>
      <c r="J126" s="6"/>
      <c r="K126" s="45" t="n">
        <f aca="false">SUM(K127)</f>
        <v>150</v>
      </c>
      <c r="L126" s="46" t="n">
        <f aca="false">SUMIF(E127,"人工",K127)</f>
        <v>0</v>
      </c>
      <c r="M126" s="46" t="n">
        <f aca="false">SUMIF(E127,"材料",K127)</f>
        <v>0</v>
      </c>
      <c r="N126" s="46" t="n">
        <f aca="false">SUMIF(E127,"机械",K127)+SUMIF(E127,"外委",K127)</f>
        <v>150</v>
      </c>
      <c r="O126" s="47" t="s">
        <v>551</v>
      </c>
      <c r="P126" s="45" t="n">
        <f aca="false">K126</f>
        <v>150</v>
      </c>
    </row>
    <row r="127" customFormat="false" ht="18" hidden="false" customHeight="true" outlineLevel="0" collapsed="false">
      <c r="A127" s="15" t="s">
        <v>552</v>
      </c>
      <c r="B127" s="15" t="s">
        <v>210</v>
      </c>
      <c r="C127" s="7" t="s">
        <v>211</v>
      </c>
      <c r="D127" s="15" t="s">
        <v>102</v>
      </c>
      <c r="E127" s="15" t="s">
        <v>197</v>
      </c>
      <c r="F127" s="16" t="s">
        <v>548</v>
      </c>
      <c r="G127" s="7" t="s">
        <v>549</v>
      </c>
      <c r="H127" s="15" t="s">
        <v>192</v>
      </c>
      <c r="I127" s="48" t="n">
        <v>1</v>
      </c>
      <c r="J127" s="8" t="n">
        <f aca="false">IFERROR(VLOOKUP(F127,工料机价格!$A$4:$F$45,6,FALSE()),0)</f>
        <v>150</v>
      </c>
      <c r="K127" s="19" t="n">
        <f aca="false">I127*J127</f>
        <v>150</v>
      </c>
      <c r="L127" s="19" t="n">
        <f aca="false">IF(E127="人工",K127,0)</f>
        <v>0</v>
      </c>
      <c r="M127" s="19" t="n">
        <f aca="false">IF(E127="材料",K127,0)</f>
        <v>0</v>
      </c>
      <c r="N127" s="19" t="n">
        <f aca="false">IF(OR(E127="机械",E127="外委"),K127,0)</f>
        <v>150</v>
      </c>
      <c r="O127" s="17" t="s">
        <v>550</v>
      </c>
      <c r="P127" s="15"/>
    </row>
    <row r="128" customFormat="false" ht="21.75" hidden="false" customHeight="true" outlineLevel="0" collapsed="false">
      <c r="A128" s="6" t="n">
        <v>32</v>
      </c>
      <c r="B128" s="6" t="s">
        <v>214</v>
      </c>
      <c r="C128" s="44" t="s">
        <v>215</v>
      </c>
      <c r="D128" s="6" t="s">
        <v>217</v>
      </c>
      <c r="E128" s="6" t="s">
        <v>280</v>
      </c>
      <c r="F128" s="6"/>
      <c r="G128" s="6"/>
      <c r="H128" s="6"/>
      <c r="I128" s="6"/>
      <c r="J128" s="6"/>
      <c r="K128" s="45" t="n">
        <f aca="false">SUM(K129:K133)</f>
        <v>39082.95</v>
      </c>
      <c r="L128" s="45" t="n">
        <f aca="false">SUMIF(E129:E133,"人工",K129:K133)</f>
        <v>3100</v>
      </c>
      <c r="M128" s="45" t="n">
        <f aca="false">SUMIF(E129:E133,"材料",K129:K133)</f>
        <v>34210</v>
      </c>
      <c r="N128" s="45" t="n">
        <f aca="false">SUMIF(E129:E133,"机械",K129:K133)+SUMIF(E129:E133,"外委",K129:K133)</f>
        <v>1772.95</v>
      </c>
      <c r="O128" s="44" t="s">
        <v>553</v>
      </c>
      <c r="P128" s="45" t="n">
        <f aca="false">K128</f>
        <v>39082.95</v>
      </c>
    </row>
    <row r="129" customFormat="false" ht="19.5" hidden="false" customHeight="true" outlineLevel="0" collapsed="false">
      <c r="A129" s="15" t="s">
        <v>554</v>
      </c>
      <c r="B129" s="15" t="s">
        <v>214</v>
      </c>
      <c r="C129" s="7" t="s">
        <v>215</v>
      </c>
      <c r="D129" s="15" t="s">
        <v>217</v>
      </c>
      <c r="E129" s="15" t="s">
        <v>277</v>
      </c>
      <c r="F129" s="16" t="s">
        <v>555</v>
      </c>
      <c r="G129" s="7" t="s">
        <v>556</v>
      </c>
      <c r="H129" s="15" t="s">
        <v>217</v>
      </c>
      <c r="I129" s="48" t="n">
        <v>1</v>
      </c>
      <c r="J129" s="8" t="n">
        <f aca="false">IFERROR(VLOOKUP(F129,工料机价格!$A$4:$F$45,6,FALSE()),0)</f>
        <v>28000</v>
      </c>
      <c r="K129" s="19" t="n">
        <f aca="false">I129*J129</f>
        <v>28000</v>
      </c>
      <c r="L129" s="19" t="n">
        <f aca="false">IF(E129="人工",K129,0)</f>
        <v>0</v>
      </c>
      <c r="M129" s="19" t="n">
        <f aca="false">IF(E129="材料",K129,0)</f>
        <v>28000</v>
      </c>
      <c r="N129" s="19" t="n">
        <f aca="false">IF(OR(E129="机械",E129="外委"),K129,0)</f>
        <v>0</v>
      </c>
      <c r="O129" s="17" t="s">
        <v>557</v>
      </c>
      <c r="P129" s="15"/>
    </row>
    <row r="130" customFormat="false" ht="19.5" hidden="false" customHeight="true" outlineLevel="0" collapsed="false">
      <c r="A130" s="21" t="s">
        <v>558</v>
      </c>
      <c r="B130" s="21" t="s">
        <v>214</v>
      </c>
      <c r="C130" s="10" t="s">
        <v>215</v>
      </c>
      <c r="D130" s="21" t="s">
        <v>217</v>
      </c>
      <c r="E130" s="21" t="s">
        <v>277</v>
      </c>
      <c r="F130" s="22" t="s">
        <v>559</v>
      </c>
      <c r="G130" s="10" t="s">
        <v>560</v>
      </c>
      <c r="H130" s="21" t="s">
        <v>217</v>
      </c>
      <c r="I130" s="48" t="n">
        <v>1</v>
      </c>
      <c r="J130" s="8" t="n">
        <f aca="false">IFERROR(VLOOKUP(F130,工料机价格!$A$4:$F$45,6,FALSE()),0)</f>
        <v>6210</v>
      </c>
      <c r="K130" s="24" t="n">
        <f aca="false">I130*J130</f>
        <v>6210</v>
      </c>
      <c r="L130" s="24" t="n">
        <f aca="false">IF(E130="人工",K130,0)</f>
        <v>0</v>
      </c>
      <c r="M130" s="24" t="n">
        <f aca="false">IF(E130="材料",K130,0)</f>
        <v>6210</v>
      </c>
      <c r="N130" s="24" t="n">
        <f aca="false">IF(OR(E130="机械",E130="外委"),K130,0)</f>
        <v>0</v>
      </c>
      <c r="O130" s="23" t="s">
        <v>561</v>
      </c>
      <c r="P130" s="21"/>
    </row>
    <row r="131" customFormat="false" ht="19.5" hidden="false" customHeight="true" outlineLevel="0" collapsed="false">
      <c r="A131" s="15" t="s">
        <v>562</v>
      </c>
      <c r="B131" s="15" t="s">
        <v>214</v>
      </c>
      <c r="C131" s="7" t="s">
        <v>215</v>
      </c>
      <c r="D131" s="15" t="s">
        <v>217</v>
      </c>
      <c r="E131" s="15" t="s">
        <v>276</v>
      </c>
      <c r="F131" s="16" t="s">
        <v>288</v>
      </c>
      <c r="G131" s="7" t="s">
        <v>289</v>
      </c>
      <c r="H131" s="15" t="s">
        <v>285</v>
      </c>
      <c r="I131" s="48" t="n">
        <v>8</v>
      </c>
      <c r="J131" s="8" t="n">
        <f aca="false">IFERROR(VLOOKUP(F131,工料机价格!$A$4:$F$45,6,FALSE()),0)</f>
        <v>300</v>
      </c>
      <c r="K131" s="19" t="n">
        <f aca="false">I131*J131</f>
        <v>2400</v>
      </c>
      <c r="L131" s="19" t="n">
        <f aca="false">IF(E131="人工",K131,0)</f>
        <v>2400</v>
      </c>
      <c r="M131" s="19" t="n">
        <f aca="false">IF(E131="材料",K131,0)</f>
        <v>0</v>
      </c>
      <c r="N131" s="19" t="n">
        <f aca="false">IF(OR(E131="机械",E131="外委"),K131,0)</f>
        <v>0</v>
      </c>
      <c r="O131" s="17" t="s">
        <v>563</v>
      </c>
      <c r="P131" s="15"/>
    </row>
    <row r="132" customFormat="false" ht="19.5" hidden="false" customHeight="true" outlineLevel="0" collapsed="false">
      <c r="A132" s="21" t="s">
        <v>564</v>
      </c>
      <c r="B132" s="21" t="s">
        <v>214</v>
      </c>
      <c r="C132" s="10" t="s">
        <v>215</v>
      </c>
      <c r="D132" s="21" t="s">
        <v>217</v>
      </c>
      <c r="E132" s="21" t="s">
        <v>276</v>
      </c>
      <c r="F132" s="22" t="s">
        <v>283</v>
      </c>
      <c r="G132" s="10" t="s">
        <v>284</v>
      </c>
      <c r="H132" s="21" t="s">
        <v>285</v>
      </c>
      <c r="I132" s="48" t="n">
        <v>2</v>
      </c>
      <c r="J132" s="8" t="n">
        <f aca="false">IFERROR(VLOOKUP(F132,工料机价格!$A$4:$F$45,6,FALSE()),0)</f>
        <v>350</v>
      </c>
      <c r="K132" s="24" t="n">
        <f aca="false">I132*J132</f>
        <v>700</v>
      </c>
      <c r="L132" s="24" t="n">
        <f aca="false">IF(E132="人工",K132,0)</f>
        <v>700</v>
      </c>
      <c r="M132" s="24" t="n">
        <f aca="false">IF(E132="材料",K132,0)</f>
        <v>0</v>
      </c>
      <c r="N132" s="24" t="n">
        <f aca="false">IF(OR(E132="机械",E132="外委"),K132,0)</f>
        <v>0</v>
      </c>
      <c r="O132" s="23" t="s">
        <v>565</v>
      </c>
      <c r="P132" s="21"/>
    </row>
    <row r="133" customFormat="false" ht="19.5" hidden="false" customHeight="true" outlineLevel="0" collapsed="false">
      <c r="A133" s="15" t="s">
        <v>566</v>
      </c>
      <c r="B133" s="15" t="s">
        <v>214</v>
      </c>
      <c r="C133" s="7" t="s">
        <v>215</v>
      </c>
      <c r="D133" s="15" t="s">
        <v>217</v>
      </c>
      <c r="E133" s="15" t="s">
        <v>278</v>
      </c>
      <c r="F133" s="16" t="s">
        <v>340</v>
      </c>
      <c r="G133" s="7" t="s">
        <v>341</v>
      </c>
      <c r="H133" s="15" t="s">
        <v>305</v>
      </c>
      <c r="I133" s="48" t="n">
        <v>1</v>
      </c>
      <c r="J133" s="8" t="n">
        <f aca="false">IFERROR(VLOOKUP(F133,工料机价格!$A$4:$F$45,6,FALSE()),0)</f>
        <v>1772.95</v>
      </c>
      <c r="K133" s="19" t="n">
        <f aca="false">I133*J133</f>
        <v>1772.95</v>
      </c>
      <c r="L133" s="19" t="n">
        <f aca="false">IF(E133="人工",K133,0)</f>
        <v>0</v>
      </c>
      <c r="M133" s="19" t="n">
        <f aca="false">IF(E133="材料",K133,0)</f>
        <v>0</v>
      </c>
      <c r="N133" s="19" t="n">
        <f aca="false">IF(OR(E133="机械",E133="外委"),K133,0)</f>
        <v>1772.95</v>
      </c>
      <c r="O133" s="17" t="s">
        <v>368</v>
      </c>
      <c r="P133" s="15"/>
    </row>
    <row r="134" customFormat="false" ht="21.75" hidden="false" customHeight="true" outlineLevel="0" collapsed="false">
      <c r="A134" s="6" t="n">
        <v>33</v>
      </c>
      <c r="B134" s="6" t="s">
        <v>220</v>
      </c>
      <c r="C134" s="44" t="s">
        <v>221</v>
      </c>
      <c r="D134" s="6" t="s">
        <v>102</v>
      </c>
      <c r="E134" s="6" t="s">
        <v>280</v>
      </c>
      <c r="F134" s="6"/>
      <c r="G134" s="6"/>
      <c r="H134" s="6"/>
      <c r="I134" s="6"/>
      <c r="J134" s="6"/>
      <c r="K134" s="45" t="n">
        <f aca="false">SUM(K135)</f>
        <v>150</v>
      </c>
      <c r="L134" s="45" t="n">
        <f aca="false">SUMIF(E135,"人工",K135)</f>
        <v>0</v>
      </c>
      <c r="M134" s="45" t="n">
        <f aca="false">SUMIF(E135,"材料",K135)</f>
        <v>0</v>
      </c>
      <c r="N134" s="45" t="n">
        <f aca="false">SUMIF(E135,"机械",K135)+SUMIF(E135,"外委",K135)</f>
        <v>150</v>
      </c>
      <c r="O134" s="44" t="s">
        <v>567</v>
      </c>
      <c r="P134" s="45" t="n">
        <f aca="false">K134</f>
        <v>150</v>
      </c>
    </row>
    <row r="135" customFormat="false" ht="19.5" hidden="false" customHeight="true" outlineLevel="0" collapsed="false">
      <c r="A135" s="15" t="s">
        <v>568</v>
      </c>
      <c r="B135" s="15" t="s">
        <v>220</v>
      </c>
      <c r="C135" s="7" t="s">
        <v>221</v>
      </c>
      <c r="D135" s="15" t="s">
        <v>102</v>
      </c>
      <c r="E135" s="15" t="s">
        <v>197</v>
      </c>
      <c r="F135" s="16" t="s">
        <v>569</v>
      </c>
      <c r="G135" s="7" t="s">
        <v>570</v>
      </c>
      <c r="H135" s="15" t="s">
        <v>192</v>
      </c>
      <c r="I135" s="48" t="n">
        <v>1</v>
      </c>
      <c r="J135" s="8" t="n">
        <f aca="false">IFERROR(VLOOKUP(F135,工料机价格!$A$4:$F$45,6,FALSE()),0)</f>
        <v>150</v>
      </c>
      <c r="K135" s="19" t="n">
        <f aca="false">I135*J135</f>
        <v>150</v>
      </c>
      <c r="L135" s="19" t="n">
        <f aca="false">IF(E135="人工",K135,0)</f>
        <v>0</v>
      </c>
      <c r="M135" s="19" t="n">
        <f aca="false">IF(E135="材料",K135,0)</f>
        <v>0</v>
      </c>
      <c r="N135" s="19" t="n">
        <f aca="false">IF(OR(E135="机械",E135="外委"),K135,0)</f>
        <v>150</v>
      </c>
      <c r="O135" s="17" t="s">
        <v>550</v>
      </c>
      <c r="P135" s="15"/>
    </row>
    <row r="136" customFormat="false" ht="21.75" hidden="false" customHeight="true" outlineLevel="0" collapsed="false">
      <c r="A136" s="6" t="n">
        <v>34</v>
      </c>
      <c r="B136" s="6" t="s">
        <v>225</v>
      </c>
      <c r="C136" s="44" t="s">
        <v>226</v>
      </c>
      <c r="D136" s="6" t="s">
        <v>102</v>
      </c>
      <c r="E136" s="6" t="s">
        <v>280</v>
      </c>
      <c r="F136" s="6"/>
      <c r="G136" s="6"/>
      <c r="H136" s="6"/>
      <c r="I136" s="6"/>
      <c r="J136" s="6"/>
      <c r="K136" s="45" t="n">
        <f aca="false">SUM(K137)</f>
        <v>150</v>
      </c>
      <c r="L136" s="45" t="n">
        <f aca="false">SUMIF(E137,"人工",K137)</f>
        <v>0</v>
      </c>
      <c r="M136" s="45" t="n">
        <f aca="false">SUMIF(E137,"材料",K137)</f>
        <v>0</v>
      </c>
      <c r="N136" s="45" t="n">
        <f aca="false">SUMIF(E137,"机械",K137)+SUMIF(E137,"外委",K137)</f>
        <v>150</v>
      </c>
      <c r="O136" s="44" t="s">
        <v>571</v>
      </c>
      <c r="P136" s="45" t="n">
        <f aca="false">K136</f>
        <v>150</v>
      </c>
    </row>
    <row r="137" customFormat="false" ht="19.5" hidden="false" customHeight="true" outlineLevel="0" collapsed="false">
      <c r="A137" s="15" t="s">
        <v>572</v>
      </c>
      <c r="B137" s="15" t="s">
        <v>225</v>
      </c>
      <c r="C137" s="7" t="s">
        <v>226</v>
      </c>
      <c r="D137" s="15" t="s">
        <v>102</v>
      </c>
      <c r="E137" s="15" t="s">
        <v>197</v>
      </c>
      <c r="F137" s="16" t="s">
        <v>569</v>
      </c>
      <c r="G137" s="7" t="s">
        <v>570</v>
      </c>
      <c r="H137" s="15" t="s">
        <v>192</v>
      </c>
      <c r="I137" s="48" t="n">
        <v>1</v>
      </c>
      <c r="J137" s="8" t="n">
        <f aca="false">IFERROR(VLOOKUP(F137,工料机价格!$A$4:$F$45,6,FALSE()),0)</f>
        <v>150</v>
      </c>
      <c r="K137" s="19" t="n">
        <f aca="false">I137*J137</f>
        <v>150</v>
      </c>
      <c r="L137" s="19" t="n">
        <f aca="false">IF(E137="人工",K137,0)</f>
        <v>0</v>
      </c>
      <c r="M137" s="19" t="n">
        <f aca="false">IF(E137="材料",K137,0)</f>
        <v>0</v>
      </c>
      <c r="N137" s="19" t="n">
        <f aca="false">IF(OR(E137="机械",E137="外委"),K137,0)</f>
        <v>150</v>
      </c>
      <c r="O137" s="17" t="s">
        <v>550</v>
      </c>
      <c r="P137" s="15"/>
    </row>
    <row r="138" customFormat="false" ht="15" hidden="false" customHeight="true" outlineLevel="0" collapsed="false">
      <c r="A138" s="42"/>
      <c r="B138" s="42"/>
      <c r="C138" s="27" t="s">
        <v>573</v>
      </c>
      <c r="D138" s="42"/>
      <c r="E138" s="42"/>
      <c r="F138" s="42"/>
      <c r="G138" s="42"/>
      <c r="H138" s="42"/>
      <c r="I138" s="42"/>
      <c r="J138" s="42"/>
      <c r="K138" s="28" t="n">
        <f aca="false">SUMIF(E4:E137,"汇总",K4:K137)</f>
        <v>207055.43719</v>
      </c>
      <c r="L138" s="42"/>
      <c r="M138" s="42"/>
      <c r="N138" s="42"/>
      <c r="O138" s="42"/>
      <c r="P138" s="42"/>
    </row>
  </sheetData>
  <autoFilter ref="A3:P137"/>
  <mergeCells count="2">
    <mergeCell ref="A1:P1"/>
    <mergeCell ref="A2:P2"/>
  </mergeCells>
  <printOptions headings="false" gridLines="false" gridLinesSet="true" horizontalCentered="false" verticalCentered="false"/>
  <pageMargins left="0.4" right="0.4" top="0.65" bottom="0.5" header="0.279861111111111" footer="0.279861111111111"/>
  <pageSetup paperSize="9" scale="100" fitToWidth="1" fitToHeight="3" pageOrder="downThenOver" orientation="landscape" blackAndWhite="false" draft="false" cellComments="none" horizontalDpi="300" verticalDpi="300" copies="1"/>
  <headerFooter differentFirst="false" differentOddEven="false">
    <oddHeader>&amp;L&amp;"微软雅黑,标准"&amp;9 综合单价&amp;R&amp;"Calibri,标准"德阳市什邡市2个污染地块</oddHeader>
    <oddFooter>&amp;L&amp;"Calibri,标准"什邡2个污染地块施工成本测算 · 不引用投资估算单价&amp;R&amp;"Calibri,标准"第 &amp;P 页 / 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H47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1" width="9.1"/>
    <col collapsed="false" customWidth="true" hidden="false" outlineLevel="0" max="3" min="3" style="1" width="25.47"/>
    <col collapsed="false" customWidth="true" hidden="false" outlineLevel="0" max="4" min="4" style="1" width="38.21"/>
    <col collapsed="false" customWidth="true" hidden="false" outlineLevel="0" max="5" min="5" style="1" width="9.1"/>
    <col collapsed="false" customWidth="true" hidden="false" outlineLevel="0" max="6" min="6" style="1" width="16.38"/>
    <col collapsed="false" customWidth="true" hidden="false" outlineLevel="0" max="7" min="7" style="1" width="32.76"/>
    <col collapsed="false" customWidth="true" hidden="false" outlineLevel="0" max="8" min="8" style="1" width="38.21"/>
  </cols>
  <sheetData>
    <row r="1" customFormat="false" ht="31.5" hidden="false" customHeight="true" outlineLevel="0" collapsed="false">
      <c r="A1" s="13" t="s">
        <v>574</v>
      </c>
      <c r="B1" s="13"/>
      <c r="C1" s="13"/>
      <c r="D1" s="13"/>
      <c r="E1" s="13"/>
      <c r="F1" s="13"/>
      <c r="G1" s="13"/>
      <c r="H1" s="13"/>
    </row>
    <row r="2" customFormat="false" ht="21.75" hidden="false" customHeight="true" outlineLevel="0" collapsed="false">
      <c r="A2" s="14" t="s">
        <v>575</v>
      </c>
      <c r="B2" s="14"/>
      <c r="C2" s="14"/>
      <c r="D2" s="14"/>
      <c r="E2" s="14"/>
      <c r="F2" s="14"/>
      <c r="G2" s="14"/>
      <c r="H2" s="14"/>
    </row>
    <row r="3" customFormat="false" ht="27.75" hidden="false" customHeight="true" outlineLevel="0" collapsed="false">
      <c r="A3" s="6" t="s">
        <v>40</v>
      </c>
      <c r="B3" s="6" t="s">
        <v>576</v>
      </c>
      <c r="C3" s="6" t="s">
        <v>577</v>
      </c>
      <c r="D3" s="6" t="s">
        <v>578</v>
      </c>
      <c r="E3" s="6" t="s">
        <v>43</v>
      </c>
      <c r="F3" s="6" t="s">
        <v>579</v>
      </c>
      <c r="G3" s="6" t="s">
        <v>580</v>
      </c>
      <c r="H3" s="6" t="s">
        <v>240</v>
      </c>
    </row>
    <row r="4" customFormat="false" ht="27.75" hidden="false" customHeight="true" outlineLevel="0" collapsed="false">
      <c r="A4" s="50" t="s">
        <v>581</v>
      </c>
      <c r="B4" s="37" t="s">
        <v>277</v>
      </c>
      <c r="C4" s="38" t="s">
        <v>582</v>
      </c>
      <c r="D4" s="9" t="s">
        <v>583</v>
      </c>
      <c r="E4" s="37" t="s">
        <v>584</v>
      </c>
      <c r="F4" s="18" t="n">
        <v>6.37</v>
      </c>
      <c r="G4" s="9" t="s">
        <v>585</v>
      </c>
      <c r="H4" s="9" t="s">
        <v>586</v>
      </c>
    </row>
    <row r="5" customFormat="false" ht="27.75" hidden="false" customHeight="true" outlineLevel="0" collapsed="false">
      <c r="A5" s="50" t="s">
        <v>288</v>
      </c>
      <c r="B5" s="37" t="s">
        <v>276</v>
      </c>
      <c r="C5" s="38" t="s">
        <v>289</v>
      </c>
      <c r="D5" s="9" t="s">
        <v>587</v>
      </c>
      <c r="E5" s="37" t="s">
        <v>285</v>
      </c>
      <c r="F5" s="18" t="n">
        <v>300</v>
      </c>
      <c r="G5" s="9" t="s">
        <v>588</v>
      </c>
      <c r="H5" s="9" t="s">
        <v>541</v>
      </c>
    </row>
    <row r="6" customFormat="false" ht="27.75" hidden="false" customHeight="true" outlineLevel="0" collapsed="false">
      <c r="A6" s="50" t="s">
        <v>283</v>
      </c>
      <c r="B6" s="37" t="s">
        <v>276</v>
      </c>
      <c r="C6" s="38" t="s">
        <v>284</v>
      </c>
      <c r="D6" s="9" t="s">
        <v>589</v>
      </c>
      <c r="E6" s="37" t="s">
        <v>285</v>
      </c>
      <c r="F6" s="18" t="n">
        <v>350</v>
      </c>
      <c r="G6" s="9" t="s">
        <v>590</v>
      </c>
      <c r="H6" s="9" t="s">
        <v>541</v>
      </c>
    </row>
    <row r="7" customFormat="false" ht="27.75" hidden="false" customHeight="true" outlineLevel="0" collapsed="false">
      <c r="A7" s="50" t="s">
        <v>327</v>
      </c>
      <c r="B7" s="37" t="s">
        <v>278</v>
      </c>
      <c r="C7" s="38" t="s">
        <v>328</v>
      </c>
      <c r="D7" s="9" t="s">
        <v>591</v>
      </c>
      <c r="E7" s="37" t="s">
        <v>305</v>
      </c>
      <c r="F7" s="32" t="n">
        <f aca="false">900+F4*90+F5</f>
        <v>1773.3</v>
      </c>
      <c r="G7" s="9" t="s">
        <v>592</v>
      </c>
      <c r="H7" s="9" t="s">
        <v>593</v>
      </c>
    </row>
    <row r="8" customFormat="false" ht="27.75" hidden="false" customHeight="true" outlineLevel="0" collapsed="false">
      <c r="A8" s="50" t="s">
        <v>303</v>
      </c>
      <c r="B8" s="37" t="s">
        <v>278</v>
      </c>
      <c r="C8" s="38" t="s">
        <v>304</v>
      </c>
      <c r="D8" s="9" t="s">
        <v>594</v>
      </c>
      <c r="E8" s="37" t="s">
        <v>305</v>
      </c>
      <c r="F8" s="32" t="n">
        <f aca="false">700+F4*70+F5</f>
        <v>1445.9</v>
      </c>
      <c r="G8" s="9" t="s">
        <v>592</v>
      </c>
      <c r="H8" s="9" t="s">
        <v>595</v>
      </c>
    </row>
    <row r="9" customFormat="false" ht="27.75" hidden="false" customHeight="true" outlineLevel="0" collapsed="false">
      <c r="A9" s="50" t="s">
        <v>373</v>
      </c>
      <c r="B9" s="37" t="s">
        <v>278</v>
      </c>
      <c r="C9" s="38" t="s">
        <v>374</v>
      </c>
      <c r="D9" s="9" t="s">
        <v>596</v>
      </c>
      <c r="E9" s="37" t="s">
        <v>305</v>
      </c>
      <c r="F9" s="32" t="n">
        <f aca="false">550+F4*45+F5</f>
        <v>1136.65</v>
      </c>
      <c r="G9" s="9" t="s">
        <v>592</v>
      </c>
      <c r="H9" s="9" t="s">
        <v>597</v>
      </c>
    </row>
    <row r="10" customFormat="false" ht="27.75" hidden="false" customHeight="true" outlineLevel="0" collapsed="false">
      <c r="A10" s="50" t="s">
        <v>308</v>
      </c>
      <c r="B10" s="37" t="s">
        <v>278</v>
      </c>
      <c r="C10" s="38" t="s">
        <v>309</v>
      </c>
      <c r="D10" s="9" t="s">
        <v>598</v>
      </c>
      <c r="E10" s="37" t="s">
        <v>305</v>
      </c>
      <c r="F10" s="32" t="n">
        <f aca="false">500+F4*40+F5</f>
        <v>1054.8</v>
      </c>
      <c r="G10" s="9" t="s">
        <v>592</v>
      </c>
      <c r="H10" s="9" t="s">
        <v>599</v>
      </c>
    </row>
    <row r="11" customFormat="false" ht="27.75" hidden="false" customHeight="true" outlineLevel="0" collapsed="false">
      <c r="A11" s="50" t="s">
        <v>340</v>
      </c>
      <c r="B11" s="37" t="s">
        <v>278</v>
      </c>
      <c r="C11" s="38" t="s">
        <v>341</v>
      </c>
      <c r="D11" s="9" t="s">
        <v>600</v>
      </c>
      <c r="E11" s="37" t="s">
        <v>305</v>
      </c>
      <c r="F11" s="32" t="n">
        <f aca="false">1200+F4*35+F6</f>
        <v>1772.95</v>
      </c>
      <c r="G11" s="9" t="s">
        <v>592</v>
      </c>
      <c r="H11" s="9" t="s">
        <v>601</v>
      </c>
    </row>
    <row r="12" customFormat="false" ht="27.75" hidden="false" customHeight="true" outlineLevel="0" collapsed="false">
      <c r="A12" s="50" t="s">
        <v>382</v>
      </c>
      <c r="B12" s="37" t="s">
        <v>278</v>
      </c>
      <c r="C12" s="38" t="s">
        <v>383</v>
      </c>
      <c r="D12" s="9" t="s">
        <v>602</v>
      </c>
      <c r="E12" s="37" t="s">
        <v>305</v>
      </c>
      <c r="F12" s="32" t="n">
        <f aca="false">500+F4*40</f>
        <v>754.8</v>
      </c>
      <c r="G12" s="9" t="s">
        <v>603</v>
      </c>
      <c r="H12" s="9" t="s">
        <v>604</v>
      </c>
    </row>
    <row r="13" customFormat="false" ht="27.75" hidden="false" customHeight="true" outlineLevel="0" collapsed="false">
      <c r="A13" s="50" t="s">
        <v>410</v>
      </c>
      <c r="B13" s="37" t="s">
        <v>278</v>
      </c>
      <c r="C13" s="38" t="s">
        <v>411</v>
      </c>
      <c r="D13" s="9" t="s">
        <v>605</v>
      </c>
      <c r="E13" s="37" t="s">
        <v>305</v>
      </c>
      <c r="F13" s="32" t="n">
        <f aca="false">40+0.89*7.5*6</f>
        <v>80.05</v>
      </c>
      <c r="G13" s="9" t="s">
        <v>592</v>
      </c>
      <c r="H13" s="9" t="s">
        <v>606</v>
      </c>
    </row>
    <row r="14" customFormat="false" ht="27.75" hidden="false" customHeight="true" outlineLevel="0" collapsed="false">
      <c r="A14" s="50" t="s">
        <v>528</v>
      </c>
      <c r="B14" s="37" t="s">
        <v>278</v>
      </c>
      <c r="C14" s="38" t="s">
        <v>529</v>
      </c>
      <c r="D14" s="9" t="s">
        <v>607</v>
      </c>
      <c r="E14" s="37" t="s">
        <v>305</v>
      </c>
      <c r="F14" s="32" t="n">
        <f aca="false">350+F4*25+F5</f>
        <v>809.25</v>
      </c>
      <c r="G14" s="9" t="s">
        <v>592</v>
      </c>
      <c r="H14" s="9" t="s">
        <v>608</v>
      </c>
    </row>
    <row r="15" customFormat="false" ht="27.75" hidden="false" customHeight="true" outlineLevel="0" collapsed="false">
      <c r="A15" s="50" t="s">
        <v>391</v>
      </c>
      <c r="B15" s="37" t="s">
        <v>278</v>
      </c>
      <c r="C15" s="38" t="s">
        <v>392</v>
      </c>
      <c r="D15" s="9" t="s">
        <v>609</v>
      </c>
      <c r="E15" s="37" t="s">
        <v>305</v>
      </c>
      <c r="F15" s="32" t="n">
        <f aca="false">200+F4*20+F5</f>
        <v>627.4</v>
      </c>
      <c r="G15" s="9" t="s">
        <v>592</v>
      </c>
      <c r="H15" s="9" t="s">
        <v>610</v>
      </c>
    </row>
    <row r="16" customFormat="false" ht="27.75" hidden="false" customHeight="true" outlineLevel="0" collapsed="false">
      <c r="A16" s="50" t="s">
        <v>611</v>
      </c>
      <c r="B16" s="37" t="s">
        <v>278</v>
      </c>
      <c r="C16" s="38" t="s">
        <v>612</v>
      </c>
      <c r="D16" s="9" t="s">
        <v>613</v>
      </c>
      <c r="E16" s="37" t="s">
        <v>614</v>
      </c>
      <c r="F16" s="32" t="n">
        <f aca="false">400+F4*工程量计算!C10*2*工程量计算!C13+F5</f>
        <v>863.072</v>
      </c>
      <c r="G16" s="9" t="s">
        <v>615</v>
      </c>
      <c r="H16" s="9" t="s">
        <v>616</v>
      </c>
    </row>
    <row r="17" customFormat="false" ht="27.75" hidden="false" customHeight="true" outlineLevel="0" collapsed="false">
      <c r="A17" s="50" t="s">
        <v>299</v>
      </c>
      <c r="B17" s="37" t="s">
        <v>277</v>
      </c>
      <c r="C17" s="38" t="s">
        <v>300</v>
      </c>
      <c r="D17" s="9" t="s">
        <v>617</v>
      </c>
      <c r="E17" s="37" t="s">
        <v>114</v>
      </c>
      <c r="F17" s="18" t="n">
        <v>345</v>
      </c>
      <c r="G17" s="9" t="s">
        <v>618</v>
      </c>
      <c r="H17" s="9" t="s">
        <v>619</v>
      </c>
    </row>
    <row r="18" customFormat="false" ht="27.75" hidden="false" customHeight="true" outlineLevel="0" collapsed="false">
      <c r="A18" s="50" t="s">
        <v>323</v>
      </c>
      <c r="B18" s="37" t="s">
        <v>277</v>
      </c>
      <c r="C18" s="38" t="s">
        <v>324</v>
      </c>
      <c r="D18" s="9" t="s">
        <v>620</v>
      </c>
      <c r="E18" s="37" t="s">
        <v>76</v>
      </c>
      <c r="F18" s="18" t="n">
        <v>12</v>
      </c>
      <c r="G18" s="9" t="s">
        <v>621</v>
      </c>
      <c r="H18" s="9" t="s">
        <v>622</v>
      </c>
    </row>
    <row r="19" customFormat="false" ht="27.75" hidden="false" customHeight="true" outlineLevel="0" collapsed="false">
      <c r="A19" s="50" t="s">
        <v>348</v>
      </c>
      <c r="B19" s="37" t="s">
        <v>277</v>
      </c>
      <c r="C19" s="38" t="s">
        <v>349</v>
      </c>
      <c r="D19" s="9" t="s">
        <v>623</v>
      </c>
      <c r="E19" s="37" t="s">
        <v>76</v>
      </c>
      <c r="F19" s="18" t="n">
        <v>5</v>
      </c>
      <c r="G19" s="9" t="s">
        <v>624</v>
      </c>
      <c r="H19" s="9" t="s">
        <v>625</v>
      </c>
    </row>
    <row r="20" customFormat="false" ht="27.75" hidden="false" customHeight="true" outlineLevel="0" collapsed="false">
      <c r="A20" s="50" t="s">
        <v>494</v>
      </c>
      <c r="B20" s="37" t="s">
        <v>277</v>
      </c>
      <c r="C20" s="38" t="s">
        <v>495</v>
      </c>
      <c r="D20" s="9" t="s">
        <v>626</v>
      </c>
      <c r="E20" s="37" t="s">
        <v>496</v>
      </c>
      <c r="F20" s="18" t="n">
        <v>330</v>
      </c>
      <c r="G20" s="9" t="s">
        <v>627</v>
      </c>
      <c r="H20" s="9" t="s">
        <v>628</v>
      </c>
    </row>
    <row r="21" customFormat="false" ht="27.75" hidden="false" customHeight="true" outlineLevel="0" collapsed="false">
      <c r="A21" s="50" t="s">
        <v>499</v>
      </c>
      <c r="B21" s="37" t="s">
        <v>277</v>
      </c>
      <c r="C21" s="38" t="s">
        <v>500</v>
      </c>
      <c r="D21" s="9" t="s">
        <v>629</v>
      </c>
      <c r="E21" s="37" t="s">
        <v>136</v>
      </c>
      <c r="F21" s="18" t="n">
        <v>215</v>
      </c>
      <c r="G21" s="9" t="s">
        <v>630</v>
      </c>
      <c r="H21" s="9" t="s">
        <v>631</v>
      </c>
    </row>
    <row r="22" customFormat="false" ht="27.75" hidden="false" customHeight="true" outlineLevel="0" collapsed="false">
      <c r="A22" s="50" t="s">
        <v>295</v>
      </c>
      <c r="B22" s="37" t="s">
        <v>277</v>
      </c>
      <c r="C22" s="38" t="s">
        <v>296</v>
      </c>
      <c r="D22" s="9" t="s">
        <v>632</v>
      </c>
      <c r="E22" s="37" t="s">
        <v>114</v>
      </c>
      <c r="F22" s="18" t="n">
        <v>78</v>
      </c>
      <c r="G22" s="9" t="s">
        <v>633</v>
      </c>
      <c r="H22" s="9" t="s">
        <v>634</v>
      </c>
    </row>
    <row r="23" customFormat="false" ht="27.75" hidden="false" customHeight="true" outlineLevel="0" collapsed="false">
      <c r="A23" s="50" t="s">
        <v>334</v>
      </c>
      <c r="B23" s="37" t="s">
        <v>277</v>
      </c>
      <c r="C23" s="38" t="s">
        <v>335</v>
      </c>
      <c r="D23" s="9" t="s">
        <v>635</v>
      </c>
      <c r="E23" s="37" t="s">
        <v>76</v>
      </c>
      <c r="F23" s="18" t="n">
        <v>32</v>
      </c>
      <c r="G23" s="9" t="s">
        <v>633</v>
      </c>
      <c r="H23" s="9" t="s">
        <v>636</v>
      </c>
    </row>
    <row r="24" customFormat="false" ht="27.75" hidden="false" customHeight="true" outlineLevel="0" collapsed="false">
      <c r="A24" s="50" t="s">
        <v>487</v>
      </c>
      <c r="B24" s="37" t="s">
        <v>277</v>
      </c>
      <c r="C24" s="38" t="s">
        <v>488</v>
      </c>
      <c r="D24" s="9" t="s">
        <v>637</v>
      </c>
      <c r="E24" s="37" t="s">
        <v>76</v>
      </c>
      <c r="F24" s="18" t="n">
        <v>2.5</v>
      </c>
      <c r="G24" s="9" t="s">
        <v>633</v>
      </c>
      <c r="H24" s="9" t="s">
        <v>638</v>
      </c>
    </row>
    <row r="25" customFormat="false" ht="27.75" hidden="false" customHeight="true" outlineLevel="0" collapsed="false">
      <c r="A25" s="50" t="s">
        <v>362</v>
      </c>
      <c r="B25" s="37" t="s">
        <v>277</v>
      </c>
      <c r="C25" s="38" t="s">
        <v>363</v>
      </c>
      <c r="D25" s="9" t="s">
        <v>639</v>
      </c>
      <c r="E25" s="37" t="s">
        <v>76</v>
      </c>
      <c r="F25" s="18" t="n">
        <v>180</v>
      </c>
      <c r="G25" s="9" t="s">
        <v>640</v>
      </c>
      <c r="H25" s="9" t="s">
        <v>641</v>
      </c>
    </row>
    <row r="26" customFormat="false" ht="27.75" hidden="false" customHeight="true" outlineLevel="0" collapsed="false">
      <c r="A26" s="50" t="s">
        <v>468</v>
      </c>
      <c r="B26" s="37" t="s">
        <v>277</v>
      </c>
      <c r="C26" s="38" t="s">
        <v>469</v>
      </c>
      <c r="D26" s="9" t="s">
        <v>642</v>
      </c>
      <c r="E26" s="37" t="s">
        <v>59</v>
      </c>
      <c r="F26" s="18" t="n">
        <v>85</v>
      </c>
      <c r="G26" s="9" t="s">
        <v>633</v>
      </c>
      <c r="H26" s="9" t="s">
        <v>643</v>
      </c>
    </row>
    <row r="27" customFormat="false" ht="27.75" hidden="false" customHeight="true" outlineLevel="0" collapsed="false">
      <c r="A27" s="50" t="s">
        <v>397</v>
      </c>
      <c r="B27" s="37" t="s">
        <v>277</v>
      </c>
      <c r="C27" s="38" t="s">
        <v>398</v>
      </c>
      <c r="D27" s="9" t="s">
        <v>404</v>
      </c>
      <c r="E27" s="37" t="s">
        <v>136</v>
      </c>
      <c r="F27" s="18" t="n">
        <v>1100</v>
      </c>
      <c r="G27" s="9" t="s">
        <v>644</v>
      </c>
      <c r="H27" s="9" t="s">
        <v>541</v>
      </c>
    </row>
    <row r="28" customFormat="false" ht="27.75" hidden="false" customHeight="true" outlineLevel="0" collapsed="false">
      <c r="A28" s="50" t="s">
        <v>406</v>
      </c>
      <c r="B28" s="37" t="s">
        <v>277</v>
      </c>
      <c r="C28" s="38" t="s">
        <v>407</v>
      </c>
      <c r="D28" s="9" t="s">
        <v>408</v>
      </c>
      <c r="E28" s="37" t="s">
        <v>136</v>
      </c>
      <c r="F28" s="18" t="n">
        <v>7000</v>
      </c>
      <c r="G28" s="9" t="s">
        <v>645</v>
      </c>
      <c r="H28" s="9" t="s">
        <v>541</v>
      </c>
    </row>
    <row r="29" customFormat="false" ht="27.75" hidden="false" customHeight="true" outlineLevel="0" collapsed="false">
      <c r="A29" s="50" t="s">
        <v>426</v>
      </c>
      <c r="B29" s="37" t="s">
        <v>197</v>
      </c>
      <c r="C29" s="38" t="s">
        <v>134</v>
      </c>
      <c r="D29" s="9" t="s">
        <v>130</v>
      </c>
      <c r="E29" s="37" t="s">
        <v>136</v>
      </c>
      <c r="F29" s="18" t="n">
        <v>190</v>
      </c>
      <c r="G29" s="9" t="s">
        <v>646</v>
      </c>
      <c r="H29" s="9" t="s">
        <v>647</v>
      </c>
    </row>
    <row r="30" customFormat="false" ht="27.75" hidden="false" customHeight="true" outlineLevel="0" collapsed="false">
      <c r="A30" s="50" t="s">
        <v>440</v>
      </c>
      <c r="B30" s="37" t="s">
        <v>197</v>
      </c>
      <c r="C30" s="38" t="s">
        <v>129</v>
      </c>
      <c r="D30" s="9" t="s">
        <v>130</v>
      </c>
      <c r="E30" s="37" t="s">
        <v>114</v>
      </c>
      <c r="F30" s="18" t="n">
        <v>2800</v>
      </c>
      <c r="G30" s="9" t="s">
        <v>648</v>
      </c>
      <c r="H30" s="9" t="s">
        <v>649</v>
      </c>
    </row>
    <row r="31" customFormat="false" ht="27.75" hidden="false" customHeight="true" outlineLevel="0" collapsed="false">
      <c r="A31" s="50" t="s">
        <v>454</v>
      </c>
      <c r="B31" s="37" t="s">
        <v>197</v>
      </c>
      <c r="C31" s="38" t="s">
        <v>155</v>
      </c>
      <c r="D31" s="9" t="s">
        <v>650</v>
      </c>
      <c r="E31" s="37" t="s">
        <v>114</v>
      </c>
      <c r="F31" s="18" t="n">
        <v>80</v>
      </c>
      <c r="G31" s="9" t="s">
        <v>651</v>
      </c>
      <c r="H31" s="9" t="s">
        <v>652</v>
      </c>
    </row>
    <row r="32" customFormat="false" ht="27.75" hidden="false" customHeight="true" outlineLevel="0" collapsed="false">
      <c r="A32" s="50" t="s">
        <v>435</v>
      </c>
      <c r="B32" s="37" t="s">
        <v>277</v>
      </c>
      <c r="C32" s="38" t="s">
        <v>436</v>
      </c>
      <c r="D32" s="9" t="s">
        <v>653</v>
      </c>
      <c r="E32" s="37" t="s">
        <v>136</v>
      </c>
      <c r="F32" s="18" t="n">
        <v>12</v>
      </c>
      <c r="G32" s="9" t="s">
        <v>654</v>
      </c>
      <c r="H32" s="9" t="s">
        <v>541</v>
      </c>
    </row>
    <row r="33" customFormat="false" ht="27.75" hidden="false" customHeight="true" outlineLevel="0" collapsed="false">
      <c r="A33" s="50" t="s">
        <v>430</v>
      </c>
      <c r="B33" s="37" t="s">
        <v>277</v>
      </c>
      <c r="C33" s="38" t="s">
        <v>431</v>
      </c>
      <c r="D33" s="9" t="s">
        <v>655</v>
      </c>
      <c r="E33" s="37" t="s">
        <v>432</v>
      </c>
      <c r="F33" s="18" t="n">
        <v>0.8</v>
      </c>
      <c r="G33" s="9" t="s">
        <v>656</v>
      </c>
      <c r="H33" s="9" t="s">
        <v>657</v>
      </c>
    </row>
    <row r="34" customFormat="false" ht="27.75" hidden="false" customHeight="true" outlineLevel="0" collapsed="false">
      <c r="A34" s="50" t="s">
        <v>422</v>
      </c>
      <c r="B34" s="37" t="s">
        <v>197</v>
      </c>
      <c r="C34" s="38" t="s">
        <v>174</v>
      </c>
      <c r="D34" s="9" t="s">
        <v>658</v>
      </c>
      <c r="E34" s="37" t="s">
        <v>114</v>
      </c>
      <c r="F34" s="18" t="n">
        <v>75</v>
      </c>
      <c r="G34" s="9" t="s">
        <v>659</v>
      </c>
      <c r="H34" s="9" t="s">
        <v>660</v>
      </c>
    </row>
    <row r="35" customFormat="false" ht="27.75" hidden="false" customHeight="true" outlineLevel="0" collapsed="false">
      <c r="A35" s="50" t="s">
        <v>539</v>
      </c>
      <c r="B35" s="37" t="s">
        <v>197</v>
      </c>
      <c r="C35" s="38" t="s">
        <v>540</v>
      </c>
      <c r="D35" s="9" t="s">
        <v>198</v>
      </c>
      <c r="E35" s="37" t="s">
        <v>198</v>
      </c>
      <c r="F35" s="18" t="n">
        <v>750</v>
      </c>
      <c r="G35" s="9" t="s">
        <v>540</v>
      </c>
      <c r="H35" s="9" t="s">
        <v>661</v>
      </c>
    </row>
    <row r="36" customFormat="false" ht="27.75" hidden="false" customHeight="true" outlineLevel="0" collapsed="false">
      <c r="A36" s="50" t="s">
        <v>544</v>
      </c>
      <c r="B36" s="37" t="s">
        <v>197</v>
      </c>
      <c r="C36" s="38" t="s">
        <v>545</v>
      </c>
      <c r="D36" s="9" t="s">
        <v>198</v>
      </c>
      <c r="E36" s="37" t="s">
        <v>198</v>
      </c>
      <c r="F36" s="18" t="n">
        <v>200</v>
      </c>
      <c r="G36" s="9" t="s">
        <v>545</v>
      </c>
      <c r="H36" s="9" t="s">
        <v>662</v>
      </c>
    </row>
    <row r="37" customFormat="false" ht="27.75" hidden="false" customHeight="true" outlineLevel="0" collapsed="false">
      <c r="A37" s="50" t="s">
        <v>481</v>
      </c>
      <c r="B37" s="37" t="s">
        <v>197</v>
      </c>
      <c r="C37" s="38" t="s">
        <v>482</v>
      </c>
      <c r="D37" s="9" t="s">
        <v>663</v>
      </c>
      <c r="E37" s="37" t="s">
        <v>192</v>
      </c>
      <c r="F37" s="18" t="n">
        <v>1200</v>
      </c>
      <c r="G37" s="9" t="s">
        <v>482</v>
      </c>
      <c r="H37" s="9" t="s">
        <v>664</v>
      </c>
    </row>
    <row r="38" customFormat="false" ht="27.75" hidden="false" customHeight="true" outlineLevel="0" collapsed="false">
      <c r="A38" s="50" t="s">
        <v>548</v>
      </c>
      <c r="B38" s="37" t="s">
        <v>197</v>
      </c>
      <c r="C38" s="38" t="s">
        <v>549</v>
      </c>
      <c r="D38" s="9" t="s">
        <v>207</v>
      </c>
      <c r="E38" s="37" t="s">
        <v>192</v>
      </c>
      <c r="F38" s="18" t="n">
        <v>150</v>
      </c>
      <c r="G38" s="9" t="s">
        <v>665</v>
      </c>
      <c r="H38" s="9" t="s">
        <v>666</v>
      </c>
    </row>
    <row r="39" customFormat="false" ht="27.75" hidden="false" customHeight="true" outlineLevel="0" collapsed="false">
      <c r="A39" s="50" t="s">
        <v>464</v>
      </c>
      <c r="B39" s="37" t="s">
        <v>278</v>
      </c>
      <c r="C39" s="38" t="s">
        <v>465</v>
      </c>
      <c r="D39" s="9" t="s">
        <v>667</v>
      </c>
      <c r="E39" s="37" t="s">
        <v>305</v>
      </c>
      <c r="F39" s="32" t="n">
        <f aca="false">2500+F4*60+F5</f>
        <v>3182.2</v>
      </c>
      <c r="G39" s="9" t="s">
        <v>592</v>
      </c>
      <c r="H39" s="9" t="s">
        <v>668</v>
      </c>
    </row>
    <row r="40" customFormat="false" ht="27.75" hidden="false" customHeight="true" outlineLevel="0" collapsed="false">
      <c r="A40" s="50" t="s">
        <v>519</v>
      </c>
      <c r="B40" s="37" t="s">
        <v>277</v>
      </c>
      <c r="C40" s="38" t="s">
        <v>100</v>
      </c>
      <c r="D40" s="9" t="s">
        <v>101</v>
      </c>
      <c r="E40" s="37" t="s">
        <v>102</v>
      </c>
      <c r="F40" s="18" t="n">
        <v>180</v>
      </c>
      <c r="G40" s="9" t="s">
        <v>633</v>
      </c>
      <c r="H40" s="9" t="s">
        <v>669</v>
      </c>
    </row>
    <row r="41" customFormat="false" ht="27.75" hidden="false" customHeight="true" outlineLevel="0" collapsed="false">
      <c r="A41" s="50" t="s">
        <v>510</v>
      </c>
      <c r="B41" s="37" t="s">
        <v>277</v>
      </c>
      <c r="C41" s="38" t="s">
        <v>511</v>
      </c>
      <c r="D41" s="9" t="s">
        <v>670</v>
      </c>
      <c r="E41" s="37" t="s">
        <v>65</v>
      </c>
      <c r="F41" s="32" t="n">
        <f aca="false">8.2*F20+6.5*F21</f>
        <v>4103.5</v>
      </c>
      <c r="G41" s="9" t="s">
        <v>319</v>
      </c>
      <c r="H41" s="9" t="s">
        <v>671</v>
      </c>
    </row>
    <row r="42" customFormat="false" ht="27.75" hidden="false" customHeight="true" outlineLevel="0" collapsed="false">
      <c r="A42" s="50" t="s">
        <v>317</v>
      </c>
      <c r="B42" s="37" t="s">
        <v>277</v>
      </c>
      <c r="C42" s="38" t="s">
        <v>318</v>
      </c>
      <c r="D42" s="9" t="s">
        <v>672</v>
      </c>
      <c r="E42" s="37" t="s">
        <v>65</v>
      </c>
      <c r="F42" s="32" t="n">
        <f aca="false">1.83*F20+1.8*F21</f>
        <v>990.9</v>
      </c>
      <c r="G42" s="9" t="s">
        <v>319</v>
      </c>
      <c r="H42" s="9" t="s">
        <v>673</v>
      </c>
    </row>
    <row r="43" customFormat="false" ht="30" hidden="false" customHeight="true" outlineLevel="0" collapsed="false">
      <c r="A43" s="16" t="s">
        <v>569</v>
      </c>
      <c r="B43" s="15" t="s">
        <v>197</v>
      </c>
      <c r="C43" s="7" t="s">
        <v>570</v>
      </c>
      <c r="D43" s="17" t="s">
        <v>674</v>
      </c>
      <c r="E43" s="15" t="s">
        <v>192</v>
      </c>
      <c r="F43" s="18" t="n">
        <v>150</v>
      </c>
      <c r="G43" s="17" t="s">
        <v>665</v>
      </c>
      <c r="H43" s="17" t="s">
        <v>675</v>
      </c>
    </row>
    <row r="44" customFormat="false" ht="30" hidden="false" customHeight="true" outlineLevel="0" collapsed="false">
      <c r="A44" s="16" t="s">
        <v>555</v>
      </c>
      <c r="B44" s="15" t="s">
        <v>277</v>
      </c>
      <c r="C44" s="7" t="s">
        <v>556</v>
      </c>
      <c r="D44" s="17" t="s">
        <v>676</v>
      </c>
      <c r="E44" s="15" t="s">
        <v>217</v>
      </c>
      <c r="F44" s="18" t="n">
        <v>28000</v>
      </c>
      <c r="G44" s="17" t="s">
        <v>633</v>
      </c>
      <c r="H44" s="17" t="s">
        <v>677</v>
      </c>
    </row>
    <row r="45" customFormat="false" ht="30" hidden="false" customHeight="true" outlineLevel="0" collapsed="false">
      <c r="A45" s="16" t="s">
        <v>559</v>
      </c>
      <c r="B45" s="15" t="s">
        <v>277</v>
      </c>
      <c r="C45" s="7" t="s">
        <v>560</v>
      </c>
      <c r="D45" s="17" t="s">
        <v>678</v>
      </c>
      <c r="E45" s="15" t="s">
        <v>217</v>
      </c>
      <c r="F45" s="32" t="n">
        <f aca="false">18*F17</f>
        <v>6210</v>
      </c>
      <c r="G45" s="17" t="s">
        <v>679</v>
      </c>
      <c r="H45" s="17" t="s">
        <v>680</v>
      </c>
    </row>
    <row r="47" customFormat="false" ht="31.5" hidden="false" customHeight="true" outlineLevel="0" collapsed="false">
      <c r="A47" s="51" t="s">
        <v>681</v>
      </c>
      <c r="B47" s="51"/>
      <c r="C47" s="51"/>
      <c r="D47" s="51"/>
      <c r="E47" s="51"/>
      <c r="F47" s="51"/>
      <c r="G47" s="51"/>
      <c r="H47" s="51"/>
    </row>
  </sheetData>
  <autoFilter ref="A3:H45"/>
  <mergeCells count="3">
    <mergeCell ref="A1:H1"/>
    <mergeCell ref="A2:H2"/>
    <mergeCell ref="A47:H47"/>
  </mergeCells>
  <printOptions headings="false" gridLines="false" gridLinesSet="true" horizontalCentered="false" verticalCentered="false"/>
  <pageMargins left="0.4" right="0.4" top="0.65" bottom="0.5" header="0.279861111111111" footer="0.279861111111111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&amp;L&amp;"微软雅黑,标准"&amp;9 工料机价格&amp;R&amp;"Calibri,标准"德阳市什邡市2个污染地块</oddHeader>
    <oddFooter>&amp;L&amp;"Calibri,标准"什邡2个污染地块施工成本测算 · 不引用投资估算单价&amp;R&amp;"Calibri,标准"第 &amp;P 页 / 共 &amp;N 页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H49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25.47"/>
    <col collapsed="false" customWidth="true" hidden="false" outlineLevel="0" max="3" min="3" style="1" width="14.56"/>
    <col collapsed="false" customWidth="true" hidden="false" outlineLevel="0" max="4" min="4" style="1" width="10.92"/>
    <col collapsed="false" customWidth="true" hidden="false" outlineLevel="0" max="5" min="5" style="1" width="32.76"/>
    <col collapsed="false" customWidth="true" hidden="false" outlineLevel="0" max="6" min="6" style="1" width="25.47"/>
    <col collapsed="false" customWidth="true" hidden="false" outlineLevel="0" max="7" min="7" style="1" width="20.01"/>
    <col collapsed="false" customWidth="true" hidden="false" outlineLevel="0" max="8" min="8" style="1" width="32.76"/>
  </cols>
  <sheetData>
    <row r="1" customFormat="false" ht="31.5" hidden="false" customHeight="true" outlineLevel="0" collapsed="false">
      <c r="A1" s="13" t="s">
        <v>682</v>
      </c>
      <c r="B1" s="13"/>
      <c r="C1" s="13"/>
      <c r="D1" s="13"/>
      <c r="E1" s="13"/>
      <c r="F1" s="13"/>
      <c r="G1" s="13"/>
      <c r="H1" s="13"/>
    </row>
    <row r="2" customFormat="false" ht="21.75" hidden="false" customHeight="true" outlineLevel="0" collapsed="false">
      <c r="A2" s="14" t="s">
        <v>683</v>
      </c>
      <c r="B2" s="14"/>
      <c r="C2" s="14"/>
      <c r="D2" s="14"/>
      <c r="E2" s="14"/>
      <c r="F2" s="14"/>
      <c r="G2" s="14"/>
      <c r="H2" s="14"/>
    </row>
    <row r="3" customFormat="false" ht="27.75" hidden="false" customHeight="true" outlineLevel="0" collapsed="false">
      <c r="A3" s="6" t="s">
        <v>40</v>
      </c>
      <c r="B3" s="6" t="s">
        <v>577</v>
      </c>
      <c r="C3" s="6" t="s">
        <v>684</v>
      </c>
      <c r="D3" s="6" t="s">
        <v>43</v>
      </c>
      <c r="E3" s="6" t="s">
        <v>685</v>
      </c>
      <c r="F3" s="6" t="s">
        <v>580</v>
      </c>
      <c r="G3" s="6" t="s">
        <v>686</v>
      </c>
      <c r="H3" s="6" t="s">
        <v>240</v>
      </c>
    </row>
    <row r="4" customFormat="false" ht="21.75" hidden="false" customHeight="true" outlineLevel="0" collapsed="false">
      <c r="A4" s="15" t="s">
        <v>116</v>
      </c>
      <c r="B4" s="7" t="s">
        <v>687</v>
      </c>
      <c r="C4" s="18" t="n">
        <v>33728.15</v>
      </c>
      <c r="D4" s="37" t="s">
        <v>114</v>
      </c>
      <c r="E4" s="9" t="s">
        <v>688</v>
      </c>
      <c r="F4" s="9" t="s">
        <v>689</v>
      </c>
      <c r="G4" s="39" t="s">
        <v>690</v>
      </c>
      <c r="H4" s="9" t="s">
        <v>691</v>
      </c>
    </row>
    <row r="5" customFormat="false" ht="21.75" hidden="false" customHeight="true" outlineLevel="0" collapsed="false">
      <c r="A5" s="21" t="s">
        <v>127</v>
      </c>
      <c r="B5" s="10" t="s">
        <v>692</v>
      </c>
      <c r="C5" s="18" t="n">
        <v>16499.79</v>
      </c>
      <c r="D5" s="37" t="s">
        <v>114</v>
      </c>
      <c r="E5" s="9" t="s">
        <v>688</v>
      </c>
      <c r="F5" s="9" t="s">
        <v>20</v>
      </c>
      <c r="G5" s="39" t="s">
        <v>693</v>
      </c>
      <c r="H5" s="9" t="s">
        <v>694</v>
      </c>
    </row>
    <row r="6" customFormat="false" ht="21.75" hidden="false" customHeight="true" outlineLevel="0" collapsed="false">
      <c r="A6" s="15" t="s">
        <v>695</v>
      </c>
      <c r="B6" s="7" t="s">
        <v>696</v>
      </c>
      <c r="C6" s="18" t="n">
        <v>17228.36</v>
      </c>
      <c r="D6" s="37" t="s">
        <v>114</v>
      </c>
      <c r="E6" s="9" t="s">
        <v>688</v>
      </c>
      <c r="F6" s="9" t="s">
        <v>20</v>
      </c>
      <c r="G6" s="39" t="s">
        <v>697</v>
      </c>
      <c r="H6" s="9" t="s">
        <v>698</v>
      </c>
    </row>
    <row r="7" customFormat="false" ht="21.75" hidden="false" customHeight="true" outlineLevel="0" collapsed="false">
      <c r="A7" s="21" t="s">
        <v>132</v>
      </c>
      <c r="B7" s="10" t="s">
        <v>699</v>
      </c>
      <c r="C7" s="18" t="n">
        <v>202.65</v>
      </c>
      <c r="D7" s="37" t="s">
        <v>114</v>
      </c>
      <c r="E7" s="9" t="s">
        <v>688</v>
      </c>
      <c r="F7" s="9" t="s">
        <v>20</v>
      </c>
      <c r="G7" s="39" t="s">
        <v>24</v>
      </c>
      <c r="H7" s="9" t="s">
        <v>700</v>
      </c>
    </row>
    <row r="8" customFormat="false" ht="21.75" hidden="false" customHeight="true" outlineLevel="0" collapsed="false">
      <c r="A8" s="15" t="s">
        <v>701</v>
      </c>
      <c r="B8" s="7" t="s">
        <v>702</v>
      </c>
      <c r="C8" s="18" t="n">
        <v>17025.71</v>
      </c>
      <c r="D8" s="37" t="s">
        <v>114</v>
      </c>
      <c r="E8" s="9" t="s">
        <v>688</v>
      </c>
      <c r="F8" s="9" t="s">
        <v>20</v>
      </c>
      <c r="G8" s="39" t="s">
        <v>703</v>
      </c>
      <c r="H8" s="9" t="s">
        <v>704</v>
      </c>
    </row>
    <row r="9" customFormat="false" ht="21.75" hidden="false" customHeight="true" outlineLevel="0" collapsed="false">
      <c r="A9" s="21" t="s">
        <v>705</v>
      </c>
      <c r="B9" s="10" t="s">
        <v>706</v>
      </c>
      <c r="C9" s="18" t="n">
        <v>1.6</v>
      </c>
      <c r="D9" s="37" t="s">
        <v>707</v>
      </c>
      <c r="E9" s="9" t="s">
        <v>688</v>
      </c>
      <c r="F9" s="9" t="s">
        <v>708</v>
      </c>
      <c r="G9" s="39" t="s">
        <v>709</v>
      </c>
      <c r="H9" s="9" t="s">
        <v>710</v>
      </c>
    </row>
    <row r="10" customFormat="false" ht="21.75" hidden="false" customHeight="true" outlineLevel="0" collapsed="false">
      <c r="A10" s="15" t="s">
        <v>711</v>
      </c>
      <c r="B10" s="7" t="s">
        <v>712</v>
      </c>
      <c r="C10" s="18" t="n">
        <v>40</v>
      </c>
      <c r="D10" s="37" t="s">
        <v>713</v>
      </c>
      <c r="E10" s="9" t="s">
        <v>688</v>
      </c>
      <c r="F10" s="9" t="s">
        <v>714</v>
      </c>
      <c r="G10" s="39" t="s">
        <v>715</v>
      </c>
      <c r="H10" s="9" t="s">
        <v>716</v>
      </c>
    </row>
    <row r="11" customFormat="false" ht="21.75" hidden="false" customHeight="true" outlineLevel="0" collapsed="false">
      <c r="A11" s="21" t="s">
        <v>717</v>
      </c>
      <c r="B11" s="10" t="s">
        <v>718</v>
      </c>
      <c r="C11" s="18" t="n">
        <v>80</v>
      </c>
      <c r="D11" s="37" t="s">
        <v>713</v>
      </c>
      <c r="E11" s="9" t="s">
        <v>688</v>
      </c>
      <c r="F11" s="9" t="s">
        <v>719</v>
      </c>
      <c r="G11" s="39" t="s">
        <v>715</v>
      </c>
      <c r="H11" s="9" t="s">
        <v>720</v>
      </c>
    </row>
    <row r="12" customFormat="false" ht="21.75" hidden="false" customHeight="true" outlineLevel="0" collapsed="false">
      <c r="A12" s="15" t="s">
        <v>721</v>
      </c>
      <c r="B12" s="7" t="s">
        <v>722</v>
      </c>
      <c r="C12" s="18" t="n">
        <v>12</v>
      </c>
      <c r="D12" s="37" t="s">
        <v>723</v>
      </c>
      <c r="E12" s="9" t="s">
        <v>688</v>
      </c>
      <c r="F12" s="9" t="s">
        <v>724</v>
      </c>
      <c r="G12" s="39" t="s">
        <v>614</v>
      </c>
      <c r="H12" s="9" t="s">
        <v>725</v>
      </c>
    </row>
    <row r="13" customFormat="false" ht="21.75" hidden="false" customHeight="true" outlineLevel="0" collapsed="false">
      <c r="A13" s="21" t="s">
        <v>726</v>
      </c>
      <c r="B13" s="10" t="s">
        <v>727</v>
      </c>
      <c r="C13" s="18" t="n">
        <v>0.32</v>
      </c>
      <c r="D13" s="37" t="s">
        <v>728</v>
      </c>
      <c r="E13" s="9" t="s">
        <v>688</v>
      </c>
      <c r="F13" s="9" t="s">
        <v>729</v>
      </c>
      <c r="G13" s="39" t="s">
        <v>730</v>
      </c>
      <c r="H13" s="9" t="s">
        <v>731</v>
      </c>
    </row>
    <row r="14" customFormat="false" ht="21.75" hidden="false" customHeight="true" outlineLevel="0" collapsed="false">
      <c r="A14" s="15" t="s">
        <v>732</v>
      </c>
      <c r="B14" s="7" t="s">
        <v>733</v>
      </c>
      <c r="C14" s="18" t="n">
        <v>0.15</v>
      </c>
      <c r="D14" s="37" t="s">
        <v>734</v>
      </c>
      <c r="E14" s="9" t="s">
        <v>688</v>
      </c>
      <c r="F14" s="9" t="s">
        <v>735</v>
      </c>
      <c r="G14" s="39" t="s">
        <v>736</v>
      </c>
      <c r="H14" s="9" t="s">
        <v>737</v>
      </c>
    </row>
    <row r="15" customFormat="false" ht="21.75" hidden="false" customHeight="true" outlineLevel="0" collapsed="false">
      <c r="A15" s="21" t="s">
        <v>83</v>
      </c>
      <c r="B15" s="10" t="s">
        <v>738</v>
      </c>
      <c r="C15" s="18" t="n">
        <v>500</v>
      </c>
      <c r="D15" s="37" t="s">
        <v>76</v>
      </c>
      <c r="E15" s="9" t="s">
        <v>688</v>
      </c>
      <c r="F15" s="9" t="s">
        <v>739</v>
      </c>
      <c r="G15" s="39" t="s">
        <v>740</v>
      </c>
      <c r="H15" s="9" t="s">
        <v>741</v>
      </c>
    </row>
    <row r="16" customFormat="false" ht="21.75" hidden="false" customHeight="true" outlineLevel="0" collapsed="false">
      <c r="A16" s="15" t="s">
        <v>742</v>
      </c>
      <c r="B16" s="7" t="s">
        <v>57</v>
      </c>
      <c r="C16" s="18" t="n">
        <v>100</v>
      </c>
      <c r="D16" s="37" t="s">
        <v>59</v>
      </c>
      <c r="E16" s="9" t="s">
        <v>688</v>
      </c>
      <c r="F16" s="9" t="s">
        <v>743</v>
      </c>
      <c r="G16" s="39" t="s">
        <v>740</v>
      </c>
      <c r="H16" s="9" t="s">
        <v>744</v>
      </c>
    </row>
    <row r="17" customFormat="false" ht="21.75" hidden="false" customHeight="true" outlineLevel="0" collapsed="false">
      <c r="A17" s="21" t="s">
        <v>67</v>
      </c>
      <c r="B17" s="10" t="s">
        <v>63</v>
      </c>
      <c r="C17" s="18" t="n">
        <v>2</v>
      </c>
      <c r="D17" s="37" t="s">
        <v>65</v>
      </c>
      <c r="E17" s="9" t="s">
        <v>688</v>
      </c>
      <c r="F17" s="9" t="s">
        <v>745</v>
      </c>
      <c r="G17" s="39" t="s">
        <v>740</v>
      </c>
      <c r="H17" s="9" t="s">
        <v>746</v>
      </c>
    </row>
    <row r="18" customFormat="false" ht="21.75" hidden="false" customHeight="true" outlineLevel="0" collapsed="false">
      <c r="A18" s="15" t="s">
        <v>72</v>
      </c>
      <c r="B18" s="7" t="s">
        <v>69</v>
      </c>
      <c r="C18" s="18" t="n">
        <v>800</v>
      </c>
      <c r="D18" s="37" t="s">
        <v>59</v>
      </c>
      <c r="E18" s="9" t="s">
        <v>688</v>
      </c>
      <c r="F18" s="9" t="s">
        <v>747</v>
      </c>
      <c r="G18" s="39" t="s">
        <v>740</v>
      </c>
      <c r="H18" s="9" t="s">
        <v>748</v>
      </c>
    </row>
    <row r="19" customFormat="false" ht="21.75" hidden="false" customHeight="true" outlineLevel="0" collapsed="false">
      <c r="A19" s="21" t="s">
        <v>78</v>
      </c>
      <c r="B19" s="10" t="s">
        <v>74</v>
      </c>
      <c r="C19" s="18" t="n">
        <v>5000</v>
      </c>
      <c r="D19" s="37" t="s">
        <v>76</v>
      </c>
      <c r="E19" s="9" t="s">
        <v>688</v>
      </c>
      <c r="F19" s="9" t="s">
        <v>749</v>
      </c>
      <c r="G19" s="39" t="s">
        <v>740</v>
      </c>
      <c r="H19" s="9" t="s">
        <v>750</v>
      </c>
    </row>
    <row r="20" customFormat="false" ht="21.75" hidden="false" customHeight="true" outlineLevel="0" collapsed="false">
      <c r="A20" s="15" t="s">
        <v>88</v>
      </c>
      <c r="B20" s="7" t="s">
        <v>488</v>
      </c>
      <c r="C20" s="18" t="n">
        <v>13000</v>
      </c>
      <c r="D20" s="37" t="s">
        <v>76</v>
      </c>
      <c r="E20" s="9" t="s">
        <v>688</v>
      </c>
      <c r="F20" s="9" t="s">
        <v>751</v>
      </c>
      <c r="G20" s="39" t="s">
        <v>740</v>
      </c>
      <c r="H20" s="9" t="s">
        <v>752</v>
      </c>
    </row>
    <row r="21" customFormat="false" ht="21.75" hidden="false" customHeight="true" outlineLevel="0" collapsed="false">
      <c r="A21" s="21" t="s">
        <v>93</v>
      </c>
      <c r="B21" s="10" t="s">
        <v>90</v>
      </c>
      <c r="C21" s="18" t="n">
        <v>800</v>
      </c>
      <c r="D21" s="37" t="s">
        <v>59</v>
      </c>
      <c r="E21" s="9" t="s">
        <v>688</v>
      </c>
      <c r="F21" s="9" t="s">
        <v>753</v>
      </c>
      <c r="G21" s="39" t="s">
        <v>740</v>
      </c>
      <c r="H21" s="9" t="s">
        <v>754</v>
      </c>
    </row>
    <row r="22" customFormat="false" ht="21.75" hidden="false" customHeight="true" outlineLevel="0" collapsed="false">
      <c r="A22" s="15" t="s">
        <v>98</v>
      </c>
      <c r="B22" s="7" t="s">
        <v>95</v>
      </c>
      <c r="C22" s="18" t="n">
        <v>2</v>
      </c>
      <c r="D22" s="37" t="s">
        <v>65</v>
      </c>
      <c r="E22" s="9" t="s">
        <v>688</v>
      </c>
      <c r="F22" s="9" t="s">
        <v>755</v>
      </c>
      <c r="G22" s="39" t="s">
        <v>740</v>
      </c>
      <c r="H22" s="9" t="s">
        <v>756</v>
      </c>
    </row>
    <row r="23" customFormat="false" ht="21.75" hidden="false" customHeight="true" outlineLevel="0" collapsed="false">
      <c r="A23" s="21" t="s">
        <v>104</v>
      </c>
      <c r="B23" s="10" t="s">
        <v>100</v>
      </c>
      <c r="C23" s="18" t="n">
        <v>20</v>
      </c>
      <c r="D23" s="37" t="s">
        <v>102</v>
      </c>
      <c r="E23" s="9" t="s">
        <v>688</v>
      </c>
      <c r="F23" s="9" t="s">
        <v>757</v>
      </c>
      <c r="G23" s="39" t="s">
        <v>740</v>
      </c>
      <c r="H23" s="9" t="s">
        <v>758</v>
      </c>
    </row>
    <row r="24" customFormat="false" ht="21.75" hidden="false" customHeight="true" outlineLevel="0" collapsed="false">
      <c r="A24" s="15" t="s">
        <v>188</v>
      </c>
      <c r="B24" s="7" t="s">
        <v>759</v>
      </c>
      <c r="C24" s="18" t="n">
        <v>10</v>
      </c>
      <c r="D24" s="37" t="s">
        <v>186</v>
      </c>
      <c r="E24" s="9" t="s">
        <v>688</v>
      </c>
      <c r="F24" s="9" t="s">
        <v>760</v>
      </c>
      <c r="G24" s="39" t="s">
        <v>761</v>
      </c>
      <c r="H24" s="9" t="s">
        <v>762</v>
      </c>
    </row>
    <row r="25" customFormat="false" ht="21.75" hidden="false" customHeight="true" outlineLevel="0" collapsed="false">
      <c r="A25" s="21" t="s">
        <v>763</v>
      </c>
      <c r="B25" s="10" t="s">
        <v>764</v>
      </c>
      <c r="C25" s="18" t="n">
        <v>20</v>
      </c>
      <c r="D25" s="37" t="s">
        <v>765</v>
      </c>
      <c r="E25" s="9" t="s">
        <v>688</v>
      </c>
      <c r="F25" s="9" t="s">
        <v>766</v>
      </c>
      <c r="G25" s="39" t="s">
        <v>767</v>
      </c>
      <c r="H25" s="9" t="s">
        <v>768</v>
      </c>
    </row>
    <row r="26" customFormat="false" ht="21.75" hidden="false" customHeight="true" outlineLevel="0" collapsed="false">
      <c r="A26" s="15" t="s">
        <v>200</v>
      </c>
      <c r="B26" s="7" t="s">
        <v>196</v>
      </c>
      <c r="C26" s="18" t="n">
        <v>54</v>
      </c>
      <c r="D26" s="37" t="s">
        <v>198</v>
      </c>
      <c r="E26" s="9" t="s">
        <v>688</v>
      </c>
      <c r="F26" s="9" t="s">
        <v>769</v>
      </c>
      <c r="G26" s="39" t="s">
        <v>770</v>
      </c>
      <c r="H26" s="9" t="s">
        <v>771</v>
      </c>
    </row>
    <row r="27" customFormat="false" ht="21.75" hidden="false" customHeight="true" outlineLevel="0" collapsed="false">
      <c r="A27" s="21" t="s">
        <v>204</v>
      </c>
      <c r="B27" s="10" t="s">
        <v>202</v>
      </c>
      <c r="C27" s="18" t="n">
        <v>36</v>
      </c>
      <c r="D27" s="37" t="s">
        <v>198</v>
      </c>
      <c r="E27" s="9" t="s">
        <v>688</v>
      </c>
      <c r="F27" s="9" t="s">
        <v>772</v>
      </c>
      <c r="G27" s="39" t="s">
        <v>770</v>
      </c>
      <c r="H27" s="9" t="s">
        <v>773</v>
      </c>
    </row>
    <row r="28" customFormat="false" ht="21.75" hidden="false" customHeight="true" outlineLevel="0" collapsed="false">
      <c r="A28" s="15" t="s">
        <v>209</v>
      </c>
      <c r="B28" s="7" t="s">
        <v>774</v>
      </c>
      <c r="C28" s="18" t="n">
        <v>154</v>
      </c>
      <c r="D28" s="37" t="s">
        <v>102</v>
      </c>
      <c r="E28" s="9" t="s">
        <v>688</v>
      </c>
      <c r="F28" s="9" t="s">
        <v>775</v>
      </c>
      <c r="G28" s="39" t="s">
        <v>776</v>
      </c>
      <c r="H28" s="9" t="s">
        <v>777</v>
      </c>
    </row>
    <row r="29" customFormat="false" ht="21.75" hidden="false" customHeight="true" outlineLevel="0" collapsed="false">
      <c r="A29" s="21" t="s">
        <v>213</v>
      </c>
      <c r="B29" s="10" t="s">
        <v>778</v>
      </c>
      <c r="C29" s="18" t="n">
        <v>38</v>
      </c>
      <c r="D29" s="37" t="s">
        <v>102</v>
      </c>
      <c r="E29" s="9" t="s">
        <v>688</v>
      </c>
      <c r="F29" s="9" t="s">
        <v>779</v>
      </c>
      <c r="G29" s="39" t="s">
        <v>776</v>
      </c>
      <c r="H29" s="9" t="s">
        <v>780</v>
      </c>
    </row>
    <row r="30" customFormat="false" ht="21.75" hidden="false" customHeight="true" outlineLevel="0" collapsed="false">
      <c r="A30" s="15" t="s">
        <v>194</v>
      </c>
      <c r="B30" s="7" t="s">
        <v>781</v>
      </c>
      <c r="C30" s="18" t="n">
        <v>40</v>
      </c>
      <c r="D30" s="37" t="s">
        <v>192</v>
      </c>
      <c r="E30" s="9" t="s">
        <v>688</v>
      </c>
      <c r="F30" s="9" t="s">
        <v>782</v>
      </c>
      <c r="G30" s="39" t="s">
        <v>770</v>
      </c>
      <c r="H30" s="9" t="s">
        <v>783</v>
      </c>
    </row>
    <row r="31" customFormat="false" ht="21.75" hidden="false" customHeight="true" outlineLevel="0" collapsed="false">
      <c r="A31" s="21" t="s">
        <v>784</v>
      </c>
      <c r="B31" s="10" t="s">
        <v>785</v>
      </c>
      <c r="C31" s="18" t="n">
        <v>12</v>
      </c>
      <c r="D31" s="37" t="s">
        <v>786</v>
      </c>
      <c r="E31" s="9" t="s">
        <v>688</v>
      </c>
      <c r="F31" s="9" t="s">
        <v>787</v>
      </c>
      <c r="G31" s="39" t="s">
        <v>788</v>
      </c>
      <c r="H31" s="9" t="s">
        <v>789</v>
      </c>
    </row>
    <row r="32" customFormat="false" ht="21.75" hidden="false" customHeight="true" outlineLevel="0" collapsed="false">
      <c r="A32" s="15" t="s">
        <v>790</v>
      </c>
      <c r="B32" s="7" t="s">
        <v>791</v>
      </c>
      <c r="C32" s="18" t="n">
        <v>11266</v>
      </c>
      <c r="D32" s="37" t="s">
        <v>76</v>
      </c>
      <c r="E32" s="9" t="s">
        <v>688</v>
      </c>
      <c r="F32" s="9" t="s">
        <v>20</v>
      </c>
      <c r="G32" s="39" t="s">
        <v>792</v>
      </c>
      <c r="H32" s="9" t="s">
        <v>793</v>
      </c>
    </row>
    <row r="33" customFormat="false" ht="27.75" hidden="false" customHeight="true" outlineLevel="0" collapsed="false">
      <c r="A33" s="15" t="s">
        <v>794</v>
      </c>
      <c r="B33" s="7" t="s">
        <v>795</v>
      </c>
      <c r="C33" s="18" t="n">
        <v>40</v>
      </c>
      <c r="D33" s="15" t="s">
        <v>102</v>
      </c>
      <c r="E33" s="17" t="s">
        <v>688</v>
      </c>
      <c r="F33" s="17" t="s">
        <v>796</v>
      </c>
      <c r="G33" s="20" t="s">
        <v>550</v>
      </c>
      <c r="H33" s="17" t="s">
        <v>797</v>
      </c>
    </row>
    <row r="34" customFormat="false" ht="27.75" hidden="false" customHeight="true" outlineLevel="0" collapsed="false">
      <c r="A34" s="21" t="s">
        <v>798</v>
      </c>
      <c r="B34" s="10" t="s">
        <v>799</v>
      </c>
      <c r="C34" s="18" t="n">
        <v>20</v>
      </c>
      <c r="D34" s="21" t="s">
        <v>102</v>
      </c>
      <c r="E34" s="23" t="s">
        <v>688</v>
      </c>
      <c r="F34" s="23" t="s">
        <v>800</v>
      </c>
      <c r="G34" s="25" t="s">
        <v>550</v>
      </c>
      <c r="H34" s="23" t="s">
        <v>801</v>
      </c>
    </row>
    <row r="35" customFormat="false" ht="27.75" hidden="false" customHeight="true" outlineLevel="0" collapsed="false">
      <c r="A35" s="15" t="s">
        <v>802</v>
      </c>
      <c r="B35" s="7" t="s">
        <v>215</v>
      </c>
      <c r="C35" s="18" t="n">
        <v>2</v>
      </c>
      <c r="D35" s="15" t="s">
        <v>217</v>
      </c>
      <c r="E35" s="17" t="s">
        <v>688</v>
      </c>
      <c r="F35" s="17" t="s">
        <v>803</v>
      </c>
      <c r="G35" s="20" t="s">
        <v>804</v>
      </c>
      <c r="H35" s="17" t="s">
        <v>805</v>
      </c>
    </row>
    <row r="36" customFormat="false" ht="19.5" hidden="false" customHeight="true" outlineLevel="0" collapsed="false">
      <c r="A36" s="29" t="s">
        <v>806</v>
      </c>
      <c r="B36" s="30"/>
      <c r="C36" s="30"/>
      <c r="D36" s="30"/>
      <c r="E36" s="30"/>
      <c r="F36" s="30"/>
      <c r="G36" s="30"/>
      <c r="H36" s="31"/>
    </row>
    <row r="37" customFormat="false" ht="19.5" hidden="false" customHeight="true" outlineLevel="0" collapsed="false">
      <c r="A37" s="6" t="s">
        <v>40</v>
      </c>
      <c r="B37" s="6" t="s">
        <v>577</v>
      </c>
      <c r="C37" s="6" t="s">
        <v>684</v>
      </c>
      <c r="D37" s="6" t="s">
        <v>43</v>
      </c>
      <c r="E37" s="6" t="s">
        <v>685</v>
      </c>
      <c r="F37" s="6" t="s">
        <v>580</v>
      </c>
      <c r="G37" s="6" t="s">
        <v>686</v>
      </c>
      <c r="H37" s="6" t="s">
        <v>240</v>
      </c>
    </row>
    <row r="38" customFormat="false" ht="19.5" hidden="false" customHeight="true" outlineLevel="0" collapsed="false">
      <c r="A38" s="52" t="s">
        <v>138</v>
      </c>
      <c r="B38" s="53" t="s">
        <v>807</v>
      </c>
      <c r="C38" s="8" t="n">
        <f aca="false">C8*C9</f>
        <v>27241.136</v>
      </c>
      <c r="D38" s="52" t="s">
        <v>136</v>
      </c>
      <c r="E38" s="54" t="s">
        <v>808</v>
      </c>
      <c r="F38" s="55" t="s">
        <v>809</v>
      </c>
      <c r="G38" s="55" t="s">
        <v>810</v>
      </c>
      <c r="H38" s="54" t="s">
        <v>811</v>
      </c>
    </row>
    <row r="39" customFormat="false" ht="19.5" hidden="false" customHeight="true" outlineLevel="0" collapsed="false">
      <c r="A39" s="52" t="s">
        <v>148</v>
      </c>
      <c r="B39" s="53" t="s">
        <v>812</v>
      </c>
      <c r="C39" s="8" t="n">
        <f aca="false">C7*C9</f>
        <v>324.24</v>
      </c>
      <c r="D39" s="52" t="s">
        <v>136</v>
      </c>
      <c r="E39" s="54" t="s">
        <v>813</v>
      </c>
      <c r="F39" s="55" t="s">
        <v>809</v>
      </c>
      <c r="G39" s="55" t="s">
        <v>814</v>
      </c>
      <c r="H39" s="54" t="s">
        <v>815</v>
      </c>
    </row>
    <row r="40" customFormat="false" ht="19.5" hidden="false" customHeight="true" outlineLevel="0" collapsed="false">
      <c r="A40" s="52" t="s">
        <v>816</v>
      </c>
      <c r="B40" s="53" t="s">
        <v>817</v>
      </c>
      <c r="C40" s="8" t="n">
        <f aca="false">C8*C9*C10</f>
        <v>1089645.44</v>
      </c>
      <c r="D40" s="52" t="s">
        <v>432</v>
      </c>
      <c r="E40" s="54" t="s">
        <v>818</v>
      </c>
      <c r="F40" s="55" t="s">
        <v>809</v>
      </c>
      <c r="G40" s="55" t="s">
        <v>715</v>
      </c>
      <c r="H40" s="54" t="s">
        <v>819</v>
      </c>
    </row>
    <row r="41" customFormat="false" ht="19.5" hidden="false" customHeight="true" outlineLevel="0" collapsed="false">
      <c r="A41" s="52" t="s">
        <v>820</v>
      </c>
      <c r="B41" s="53" t="s">
        <v>821</v>
      </c>
      <c r="C41" s="8" t="n">
        <f aca="false">C7*C9*C11</f>
        <v>25939.2</v>
      </c>
      <c r="D41" s="52" t="s">
        <v>432</v>
      </c>
      <c r="E41" s="54" t="s">
        <v>818</v>
      </c>
      <c r="F41" s="55" t="s">
        <v>809</v>
      </c>
      <c r="G41" s="55" t="s">
        <v>715</v>
      </c>
      <c r="H41" s="54" t="s">
        <v>819</v>
      </c>
    </row>
    <row r="42" customFormat="false" ht="19.5" hidden="false" customHeight="true" outlineLevel="0" collapsed="false">
      <c r="A42" s="52" t="s">
        <v>822</v>
      </c>
      <c r="B42" s="53" t="s">
        <v>823</v>
      </c>
      <c r="C42" s="8" t="n">
        <f aca="false">C8*C9/C12</f>
        <v>2270.09466666667</v>
      </c>
      <c r="D42" s="52" t="s">
        <v>614</v>
      </c>
      <c r="E42" s="54" t="s">
        <v>824</v>
      </c>
      <c r="F42" s="55" t="s">
        <v>809</v>
      </c>
      <c r="G42" s="55" t="s">
        <v>825</v>
      </c>
      <c r="H42" s="54" t="s">
        <v>826</v>
      </c>
    </row>
    <row r="43" customFormat="false" ht="19.5" hidden="false" customHeight="true" outlineLevel="0" collapsed="false">
      <c r="A43" s="52" t="s">
        <v>168</v>
      </c>
      <c r="B43" s="53" t="s">
        <v>827</v>
      </c>
      <c r="C43" s="8" t="n">
        <f aca="false">C5*C14</f>
        <v>2474.9685</v>
      </c>
      <c r="D43" s="52" t="s">
        <v>114</v>
      </c>
      <c r="E43" s="54" t="s">
        <v>828</v>
      </c>
      <c r="F43" s="55" t="s">
        <v>809</v>
      </c>
      <c r="G43" s="55" t="s">
        <v>736</v>
      </c>
      <c r="H43" s="54" t="s">
        <v>829</v>
      </c>
    </row>
    <row r="44" customFormat="false" ht="19.5" hidden="false" customHeight="true" outlineLevel="0" collapsed="false">
      <c r="A44" s="52" t="s">
        <v>158</v>
      </c>
      <c r="B44" s="53" t="s">
        <v>155</v>
      </c>
      <c r="C44" s="8" t="n">
        <f aca="false">C6</f>
        <v>17228.36</v>
      </c>
      <c r="D44" s="52" t="s">
        <v>114</v>
      </c>
      <c r="E44" s="54" t="s">
        <v>830</v>
      </c>
      <c r="F44" s="55" t="s">
        <v>809</v>
      </c>
      <c r="G44" s="55" t="s">
        <v>831</v>
      </c>
      <c r="H44" s="54" t="s">
        <v>832</v>
      </c>
    </row>
    <row r="45" customFormat="false" ht="36" hidden="false" customHeight="true" outlineLevel="0" collapsed="false">
      <c r="A45" s="52" t="s">
        <v>833</v>
      </c>
      <c r="B45" s="53" t="s">
        <v>834</v>
      </c>
      <c r="C45" s="8" t="n">
        <f aca="false">C24*C25</f>
        <v>200</v>
      </c>
      <c r="D45" s="52" t="s">
        <v>59</v>
      </c>
      <c r="E45" s="54" t="s">
        <v>835</v>
      </c>
      <c r="F45" s="55" t="s">
        <v>809</v>
      </c>
      <c r="G45" s="55" t="s">
        <v>767</v>
      </c>
      <c r="H45" s="54" t="s">
        <v>836</v>
      </c>
    </row>
    <row r="46" customFormat="false" ht="36" hidden="false" customHeight="true" outlineLevel="0" collapsed="false">
      <c r="A46" s="52" t="s">
        <v>837</v>
      </c>
      <c r="B46" s="53" t="s">
        <v>838</v>
      </c>
      <c r="C46" s="8" t="n">
        <f aca="false">C6-C7-C8</f>
        <v>0</v>
      </c>
      <c r="D46" s="52" t="s">
        <v>114</v>
      </c>
      <c r="E46" s="54" t="s">
        <v>839</v>
      </c>
      <c r="F46" s="54" t="s">
        <v>809</v>
      </c>
      <c r="G46" s="55" t="s">
        <v>840</v>
      </c>
      <c r="H46" s="54" t="s">
        <v>841</v>
      </c>
    </row>
    <row r="47" customFormat="false" ht="15" hidden="false" customHeight="true" outlineLevel="0" collapsed="false">
      <c r="A47" s="52" t="s">
        <v>842</v>
      </c>
      <c r="B47" s="53" t="s">
        <v>843</v>
      </c>
      <c r="C47" s="8" t="n">
        <f aca="false">C4-C5-C6</f>
        <v>0</v>
      </c>
      <c r="D47" s="52" t="s">
        <v>114</v>
      </c>
      <c r="E47" s="54" t="s">
        <v>844</v>
      </c>
      <c r="F47" s="55" t="s">
        <v>809</v>
      </c>
      <c r="G47" s="55" t="s">
        <v>840</v>
      </c>
      <c r="H47" s="54" t="s">
        <v>841</v>
      </c>
    </row>
    <row r="49" customFormat="false" ht="36" hidden="false" customHeight="true" outlineLevel="0" collapsed="false">
      <c r="A49" s="56" t="s">
        <v>845</v>
      </c>
      <c r="B49" s="30"/>
      <c r="C49" s="30"/>
      <c r="D49" s="30"/>
      <c r="E49" s="30"/>
      <c r="F49" s="30"/>
      <c r="G49" s="30"/>
      <c r="H49" s="31"/>
    </row>
  </sheetData>
  <autoFilter ref="A3:H35"/>
  <mergeCells count="2">
    <mergeCell ref="A1:H1"/>
    <mergeCell ref="A2:H2"/>
  </mergeCells>
  <printOptions headings="false" gridLines="false" gridLinesSet="true" horizontalCentered="false" verticalCentered="false"/>
  <pageMargins left="0.4" right="0.4" top="0.65" bottom="0.5" header="0.279861111111111" footer="0.279861111111111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>&amp;L&amp;"微软雅黑,标准"&amp;9 工程量计算&amp;R&amp;"Calibri,标准"德阳市什邡市2个污染地块</oddHeader>
    <oddFooter>&amp;L&amp;"Calibri,标准"什邡2个污染地块施工成本测算 · 不引用投资估算单价&amp;R&amp;"Calibri,标准"第 &amp;P 页 / 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2026-10-06T13:41:46Z</dcterms:created>
  <dc:creator>openpyxl</dc:creator>
  <dc:description/>
  <dc:language>zh-CN</dc:language>
  <cp:lastModifiedBy/>
  <dcterms:modified xsi:type="dcterms:W3CDTF">2026-10-06T22:53:23Z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